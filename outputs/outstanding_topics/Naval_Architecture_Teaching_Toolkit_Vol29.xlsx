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69743139642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13b7ae668fc8465a"/>
    <x:sheet xmlns:r="http://schemas.openxmlformats.org/officeDocument/2006/relationships" name="APPLICABILITY" sheetId="2" r:id="R7fa2c657d06e4f80"/>
    <x:sheet xmlns:r="http://schemas.openxmlformats.org/officeDocument/2006/relationships" name="HEELING MOMENTS" sheetId="3" r:id="Rbc2d401980784580"/>
    <x:sheet xmlns:r="http://schemas.openxmlformats.org/officeDocument/2006/relationships" name="FREE SURFACE" sheetId="4" r:id="R884a729d7a524d6b"/>
    <x:sheet xmlns:r="http://schemas.openxmlformats.org/officeDocument/2006/relationships" name="LOAD CONDITIONS" sheetId="5" r:id="Racc0d55cb0ad466a"/>
    <x:sheet xmlns:r="http://schemas.openxmlformats.org/officeDocument/2006/relationships" name="OPERATING LIMITS" sheetId="6" r:id="R216879df724449ec"/>
    <x:sheet xmlns:r="http://schemas.openxmlformats.org/officeDocument/2006/relationships" name="ASSURANCE" sheetId="7" r:id="Rfc9f172ffa4a43d6"/>
    <x:sheet xmlns:r="http://schemas.openxmlformats.org/officeDocument/2006/relationships" name="REFERENCE TABLES" sheetId="8" r:id="R8372685cdde7494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16">
    <x:font>
      <x:sz val="11"/>
      <x:name val="Carlito"/>
    </x:font>
    <x:font>
      <x:sz val="11"/>
      <x:color rgb="FF000000"/>
      <x:name val="Carlito"/>
    </x:font>
    <x:font>
      <x:b/>
      <x:sz val="11"/>
      <x:color rgb="FFC8960C"/>
      <x:name val="Carlito"/>
    </x:font>
    <x:font>
      <x:b/>
      <x:sz val="11"/>
      <x:color rgb="FFFFFFFF"/>
      <x:name val="Carlito"/>
    </x:font>
    <x:font>
      <x:i/>
      <x:sz val="11"/>
      <x:color rgb="FFD6E8F7"/>
      <x:name val="Carlito"/>
    </x:font>
    <x:font>
      <x:sz val="11"/>
      <x:color rgb="FFFFFFFF"/>
      <x:name val="Carlito"/>
    </x:font>
    <x:font>
      <x:b/>
      <x:sz val="11"/>
      <x:color rgb="FF1B3A6B"/>
      <x:name val="Carlito"/>
    </x:font>
    <x:font>
      <x:sz val="11"/>
      <x:color rgb="FF404040"/>
      <x:name val="Carlito"/>
    </x:font>
    <x:font>
      <x:b/>
      <x:sz val="11"/>
      <x:color rgb="FF2E6DA4"/>
      <x:name val="Carlito"/>
    </x:font>
    <x:font>
      <x:i/>
      <x:sz val="11"/>
      <x:color rgb="FFC8960C"/>
      <x:name val="Carlito"/>
    </x:font>
    <x:font>
      <x:i/>
      <x:sz val="11"/>
      <x:color rgb="FF404040"/>
      <x:name val="Carlito"/>
    </x:font>
    <x:font>
      <x:b/>
      <x:sz val="11"/>
      <x:color rgb="FF000000"/>
      <x:name val="Carlito"/>
    </x:font>
    <x:font>
      <x:i/>
      <x:sz val="11"/>
      <x:color rgb="FF777777"/>
      <x:name val="Carlito"/>
    </x:font>
    <x:font>
      <x:sz val="11"/>
      <x:color rgb="FF0000FF"/>
      <x:name val="Carlito"/>
    </x:font>
    <x:font>
      <x:i/>
      <x:sz val="11"/>
      <x:color rgb="FF808080"/>
      <x:name val="Carlito"/>
    </x:font>
    <x:font>
      <x:sz val="11"/>
      <x:color rgb="FF0563C1"/>
      <x:name val="Carlito"/>
    </x:font>
  </x:fonts>
  <x:fills count="13">
    <x:fill>
      <x:patternFill patternType="none"/>
    </x:fill>
    <x:fill>
      <x:patternFill patternType="gray125"/>
    </x:fill>
    <x:fill>
      <x:patternFill patternType="solid">
        <x:fgColor rgb="FF0A1F3D"/>
      </x:patternFill>
    </x:fill>
    <x:fill>
      <x:patternFill patternType="solid">
        <x:fgColor rgb="FF2E6DA4"/>
      </x:patternFill>
    </x:fill>
    <x:fill>
      <x:patternFill patternType="solid">
        <x:fgColor rgb="FFF2F2F2"/>
      </x:patternFill>
    </x:fill>
    <x:fill>
      <x:patternFill patternType="solid">
        <x:fgColor rgb="FF404040"/>
      </x:patternFill>
    </x:fill>
    <x:fill>
      <x:patternFill patternType="solid">
        <x:fgColor rgb="FFFFFFFF"/>
      </x:patternFill>
    </x:fill>
    <x:fill>
      <x:patternFill patternType="solid">
        <x:fgColor rgb="FFCFE2F3"/>
      </x:patternFill>
    </x:fill>
    <x:fill>
      <x:patternFill patternType="solid">
        <x:fgColor rgb="FF1B3A6B"/>
      </x:patternFill>
    </x:fill>
    <x:fill>
      <x:patternFill patternType="solid">
        <x:fgColor rgb="FFD6E8F7"/>
      </x:patternFill>
    </x:fill>
    <x:fill>
      <x:patternFill patternType="solid">
        <x:fgColor rgb="FFE3F2FD"/>
      </x:patternFill>
    </x:fill>
    <x:fill>
      <x:patternFill patternType="solid">
        <x:fgColor rgb="FFFFF3CD"/>
      </x:patternFill>
    </x:fill>
    <x:fill>
      <x:patternFill patternType="solid">
        <x:fgColor rgb="FFD9EAD3"/>
      </x:patternFill>
    </x:fill>
  </x:fills>
  <x:borders count="2">
    <x:border/>
    <x:border>
      <x:left style="thin">
        <x:color rgb="FFAAAAAA"/>
      </x:left>
      <x:right style="thin">
        <x:color rgb="FFAAAAAA"/>
      </x:right>
      <x:top style="thin">
        <x:color rgb="FFAAAAAA"/>
      </x:top>
      <x:bottom style="thin">
        <x:color rgb="FFAAAAAA"/>
      </x:bottom>
    </x:border>
  </x:borders>
  <x:cellStyleXfs count="1">
    <x:xf numFmtId="0" fontId="0" fillId="0" borderId="0"/>
  </x:cellStyleXfs>
  <x:cellXfs count="63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horizontal="center"/>
    </x:xf>
    <x:xf numFmtId="0" fontId="1" fillId="4" borderId="0" xfId="0" applyNumberFormat="1" applyFont="1" applyFill="1" applyBorder="1"/>
    <x:xf numFmtId="0" fontId="6" fillId="4" borderId="0" xfId="0" applyNumberFormat="1" applyFont="1" applyFill="1" applyBorder="1"/>
    <x:xf numFmtId="0" fontId="7" fillId="4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horizontal="center"/>
    </x:xf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wrapText="1"/>
    </x:xf>
    <x:xf numFmtId="0" fontId="6" fillId="6" borderId="0" xfId="0" applyNumberFormat="1" applyFont="1" applyFill="1" applyBorder="1" applyAlignment="1">
      <x:alignment horizontal="center" wrapText="1"/>
    </x:xf>
    <x:xf numFmtId="0" fontId="6" fillId="7" borderId="0" xfId="0" applyNumberFormat="1" applyFont="1" applyFill="1" applyBorder="1" applyAlignment="1">
      <x:alignment horizontal="center" wrapText="1"/>
    </x:xf>
    <x:xf numFmtId="0" fontId="8" fillId="6" borderId="0" xfId="0" applyNumberFormat="1" applyFont="1" applyFill="1" applyBorder="1" applyAlignment="1">
      <x:alignment wrapText="1"/>
    </x:xf>
    <x:xf numFmtId="0" fontId="8" fillId="7" borderId="0" xfId="0" applyNumberFormat="1" applyFont="1" applyFill="1" applyBorder="1" applyAlignment="1">
      <x:alignment wrapText="1"/>
    </x:xf>
    <x:xf numFmtId="0" fontId="9" fillId="2" borderId="0" xfId="0" applyNumberFormat="1" applyFont="1" applyFill="1" applyBorder="1"/>
    <x:xf numFmtId="0" fontId="9" fillId="2" borderId="0" xfId="0" applyNumberFormat="1" applyFont="1" applyFill="1" applyBorder="1" applyAlignment="1">
      <x:alignment horizontal="center"/>
    </x:xf>
    <x:xf numFmtId="0" fontId="1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horizontal="center"/>
    </x:xf>
    <x:xf numFmtId="0" fontId="1" fillId="9" borderId="0" xfId="0" applyNumberFormat="1" applyFont="1" applyFill="1" applyBorder="1"/>
    <x:xf numFmtId="0" fontId="10" fillId="9" borderId="0" xfId="0" applyNumberFormat="1" applyFont="1" applyFill="1" applyBorder="1"/>
    <x:xf numFmtId="0" fontId="10" fillId="9" borderId="0" xfId="0" applyNumberFormat="1" applyFont="1" applyFill="1" applyBorder="1" applyAlignment="1">
      <x:alignment wrapText="1"/>
    </x:xf>
    <x:xf numFmtId="0" fontId="10" fillId="9" borderId="0" xfId="0" applyNumberFormat="1" applyFont="1" applyFill="1" applyBorder="1" applyAlignment="1">
      <x:alignment horizontal="left" wrapText="1"/>
    </x:xf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1" fillId="10" borderId="0" xfId="0" applyNumberFormat="1" applyFont="1" applyFill="1" applyBorder="1" applyAlignment="1">
      <x:alignment wrapText="1"/>
    </x:xf>
    <x:xf numFmtId="0" fontId="11" fillId="6" borderId="0" xfId="0" applyNumberFormat="1" applyFont="1" applyFill="1" applyBorder="1" applyAlignment="1">
      <x:alignment wrapText="1"/>
    </x:xf>
    <x:xf numFmtId="0" fontId="12" fillId="0" borderId="0" xfId="0" applyNumberFormat="1" applyFont="1" applyFill="1" applyBorder="1"/>
    <x:xf numFmtId="0" fontId="12" fillId="0" borderId="0" xfId="0" applyNumberFormat="1" applyFont="1" applyFill="1" applyBorder="1" applyAlignment="1">
      <x:alignment wrapText="1"/>
    </x:xf>
    <x:xf numFmtId="0" fontId="11" fillId="4" borderId="0" xfId="0" applyNumberFormat="1" applyFont="1" applyFill="1" applyBorder="1"/>
    <x:xf numFmtId="0" fontId="1" fillId="11" borderId="0" xfId="0" applyNumberFormat="1" applyFont="1" applyFill="1" applyBorder="1"/>
    <x:xf numFmtId="0" fontId="13" fillId="11" borderId="0" xfId="0" applyNumberFormat="1" applyFont="1" applyFill="1" applyBorder="1"/>
    <x:xf numFmtId="0" fontId="13" fillId="11" borderId="1" xfId="0" applyNumberFormat="1" applyFont="1" applyFill="1" applyBorder="1"/>
    <x:xf numFmtId="0" fontId="13" fillId="11" borderId="1" xfId="0" applyNumberFormat="1" applyFont="1" applyFill="1" applyBorder="1" applyAlignment="1">
      <x:alignment horizontal="center"/>
    </x:xf>
    <x:xf numFmtId="0" fontId="14" fillId="4" borderId="0" xfId="0" applyNumberFormat="1" applyFont="1" applyFill="1" applyBorder="1"/>
    <x:xf numFmtId="0" fontId="14" fillId="4" borderId="0" xfId="0" applyNumberFormat="1" applyFont="1" applyFill="1" applyBorder="1" applyAlignment="1">
      <x:alignment horizontal="center"/>
    </x:xf>
    <x:xf numFmtId="0" fontId="1" fillId="12" borderId="0" xfId="0" applyNumberFormat="1" applyFont="1" applyFill="1" applyBorder="1"/>
    <x:xf numFmtId="0" fontId="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wrapText="1"/>
    </x:xf>
    <x:xf numFmtId="0" fontId="11" fillId="12" borderId="0" xfId="0" applyNumberFormat="1" applyFont="1" applyFill="1" applyBorder="1" applyAlignment="1">
      <x:alignment horizontal="center" wrapText="1"/>
    </x:xf>
    <x:xf numFmtId="200" fontId="11" fillId="12" borderId="0" xfId="0" applyNumberFormat="1" applyFont="1" applyFill="1" applyBorder="1" applyAlignment="1">
      <x:alignment horizontal="center" wrapText="1"/>
    </x:xf>
    <x:xf numFmtId="0" fontId="14" fillId="12" borderId="0" xfId="0" applyNumberFormat="1" applyFont="1" applyFill="1" applyBorder="1" applyAlignment="1">
      <x:alignment wrapText="1"/>
    </x:xf>
    <x:xf numFmtId="0" fontId="14" fillId="12" borderId="0" xfId="0" applyNumberFormat="1" applyFont="1" applyFill="1" applyBorder="1" applyAlignment="1">
      <x:alignment horizontal="center" wrapText="1"/>
    </x:xf>
    <x:xf numFmtId="0" fontId="15" fillId="1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83213d8a530418f" /><Relationship Type="http://schemas.openxmlformats.org/officeDocument/2006/relationships/theme" Target="/xl/theme/theme1.xml" Id="R947ccf47314b4a84" /><Relationship Type="http://schemas.openxmlformats.org/officeDocument/2006/relationships/sharedStrings" Target="/xl/sharedStrings.xml" Id="R0d2f0f24579b4307" /><Relationship Type="http://schemas.openxmlformats.org/officeDocument/2006/relationships/worksheet" Target="/xl/worksheets/sheet1.xml" Id="R13b7ae668fc8465a" /><Relationship Type="http://schemas.openxmlformats.org/officeDocument/2006/relationships/worksheet" Target="/xl/worksheets/sheet2.xml" Id="R7fa2c657d06e4f80" /><Relationship Type="http://schemas.openxmlformats.org/officeDocument/2006/relationships/worksheet" Target="/xl/worksheets/sheet3.xml" Id="Rbc2d401980784580" /><Relationship Type="http://schemas.openxmlformats.org/officeDocument/2006/relationships/worksheet" Target="/xl/worksheets/sheet4.xml" Id="R884a729d7a524d6b" /><Relationship Type="http://schemas.openxmlformats.org/officeDocument/2006/relationships/worksheet" Target="/xl/worksheets/sheet5.xml" Id="Racc0d55cb0ad466a" /><Relationship Type="http://schemas.openxmlformats.org/officeDocument/2006/relationships/worksheet" Target="/xl/worksheets/sheet6.xml" Id="R216879df724449ec" /><Relationship Type="http://schemas.openxmlformats.org/officeDocument/2006/relationships/worksheet" Target="/xl/worksheets/sheet7.xml" Id="Rfc9f172ffa4a43d6" /><Relationship Type="http://schemas.openxmlformats.org/officeDocument/2006/relationships/worksheet" Target="/xl/worksheets/sheet8.xml" Id="R8372685cdde7494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2"/>
      <x:c r="C2" s="2"/>
      <x:c r="D2" s="2"/>
      <x:c r="E2" s="2"/>
    </x:row>
    <x:row r="3">
      <x:c r="A3" s="1"/>
      <x:c r="B3" s="4" t="str">
        <x:v>NAVAL ARCHITECTURE</x:v>
      </x:c>
      <x:c r="C3" s="4"/>
      <x:c r="D3" s="4"/>
      <x:c r="E3" s="4"/>
    </x:row>
    <x:row r="4">
      <x:c r="A4" s="1"/>
      <x:c r="B4" s="6" t="str">
        <x:v>TEACHING TOOLKIT</x:v>
      </x:c>
      <x:c r="C4" s="6"/>
      <x:c r="D4" s="6"/>
      <x:c r="E4" s="6"/>
    </x:row>
    <x:row r="5">
      <x:c r="A5" s="1"/>
      <x:c r="B5" s="4" t="str">
        <x:v>VOLUME 29 :  Stability of Special Vessels</x:v>
      </x:c>
      <x:c r="C5" s="4"/>
      <x:c r="D5" s="4"/>
      <x:c r="E5" s="4"/>
    </x:row>
    <x:row r="6">
      <x:c r="A6" s="1"/>
      <x:c r="B6" s="8" t="str">
        <x:v>SPS. OSV. Tugs. Crane Vessels. Dredgers. Fishing Vessels.</x:v>
      </x:c>
      <x:c r="C6" s="8"/>
      <x:c r="D6" s="8"/>
      <x:c r="E6" s="8"/>
    </x:row>
    <x:row r="7">
      <x:c r="A7" s="1"/>
      <x:c r="B7" s="2"/>
      <x:c r="C7" s="2"/>
      <x:c r="D7" s="2"/>
      <x:c r="E7" s="2"/>
    </x:row>
    <x:row r="8">
      <x:c r="A8" s="1"/>
      <x:c r="B8" s="10" t="str">
        <x:v>Alper Alacam  |  Naval Architect and Marine Engineer  |  Turkiye  |  2026</x:v>
      </x:c>
      <x:c r="C8" s="10"/>
      <x:c r="D8" s="10"/>
      <x:c r="E8" s="10"/>
    </x:row>
    <x:row r="9">
      <x:c r="A9" s="1"/>
      <x:c r="B9" s="2"/>
      <x:c r="C9" s="2"/>
      <x:c r="D9" s="2"/>
      <x:c r="E9" s="2"/>
    </x:row>
    <x:row r="10">
      <x:c r="A10" s="1"/>
      <x:c r="B10" s="13" t="str">
        <x:v>ABOUT THIS VOLUME</x:v>
      </x:c>
      <x:c r="C10" s="13"/>
      <x:c r="D10" s="13"/>
      <x:c r="E10" s="13"/>
    </x:row>
    <x:row r="11" ht="58" customHeight="1">
      <x:c r="A11" s="1"/>
      <x:c r="B11" s="15" t="str">
        <x:v>Why this topic matters</x:v>
      </x:c>
      <x:c r="C11" s="17" t="str">
        <x:v>Special vessels experience heeling moments and loading modes that ordinary cargo-ship checks may not represent: lifting, towing, deck cargo, liquids with free surface, personnel distribution and mission equipment.</x:v>
      </x:c>
      <x:c r="D11" s="1"/>
      <x:c r="E11" s="1"/>
    </x:row>
    <x:row r="12" ht="58" customHeight="1">
      <x:c r="A12" s="1"/>
      <x:c r="B12" s="15" t="str">
        <x:v>What this volume covers</x:v>
      </x:c>
      <x:c r="C12" s="17" t="str">
        <x:v>Applicability screening; external heeling moments; crane and towing examples; free-surface control; operational loading-condition register; approval evidence.</x:v>
      </x:c>
      <x:c r="D12" s="1"/>
      <x:c r="E12" s="1"/>
    </x:row>
    <x:row r="13" ht="58" customHeight="1">
      <x:c r="A13" s="1"/>
      <x:c r="B13" s="15" t="str">
        <x:v>Verification boundary</x:v>
      </x:c>
      <x:c r="C13" s="17" t="str">
        <x:v>The workbook calculates transparent first-principles screening quantities. It does not replace an approved stability booklet, limiting KG curves, downflooding analysis or Administration/class review.</x:v>
      </x:c>
      <x:c r="D13" s="1"/>
      <x:c r="E13" s="1"/>
    </x:row>
    <x:row r="14" ht="58" customHeight="1">
      <x:c r="A14" s="1"/>
      <x:c r="B14" s="15" t="str">
        <x:v>Primary references</x:v>
      </x:c>
      <x:c r="C14" s="17" t="str">
        <x:v>IMO 2008 IS Code; 2008 SPS Code; IMO OSV Guidelines; applicable flag and class rules.</x:v>
      </x:c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3" t="str">
        <x:v>WORKSHEET INDEX</x:v>
      </x:c>
      <x:c r="C16" s="13"/>
      <x:c r="D16" s="13"/>
      <x:c r="E16" s="13"/>
    </x:row>
    <x:row r="17">
      <x:c r="A17" s="1"/>
      <x:c r="B17" s="20" t="str">
        <x:v>No.</x:v>
      </x:c>
      <x:c r="C17" s="20" t="str">
        <x:v>Sheet</x:v>
      </x:c>
      <x:c r="D17" s="20" t="str">
        <x:v>Contents</x:v>
      </x:c>
      <x:c r="E17" s="1"/>
    </x:row>
    <x:row r="18">
      <x:c r="A18" s="1"/>
      <x:c r="B18" s="27" t="str">
        <x:v>1</x:v>
      </x:c>
      <x:c r="C18" s="29" t="str">
        <x:v>COVER</x:v>
      </x:c>
      <x:c r="D18" s="22" t="str">
        <x:v>Scope, references and verification boundary</x:v>
      </x:c>
      <x:c r="E18" s="1"/>
    </x:row>
    <x:row r="19">
      <x:c r="A19" s="1"/>
      <x:c r="B19" s="28" t="str">
        <x:v>2</x:v>
      </x:c>
      <x:c r="C19" s="30" t="str">
        <x:v>APPLICABILITY</x:v>
      </x:c>
      <x:c r="D19" s="24" t="str">
        <x:v>Select governing vessel/instrument path</x:v>
      </x:c>
      <x:c r="E19" s="1"/>
    </x:row>
    <x:row r="20">
      <x:c r="A20" s="1"/>
      <x:c r="B20" s="27" t="str">
        <x:v>3</x:v>
      </x:c>
      <x:c r="C20" s="29" t="str">
        <x:v>HEELING MOMENTS</x:v>
      </x:c>
      <x:c r="D20" s="22" t="str">
        <x:v>Crane and towline screening calculator</x:v>
      </x:c>
      <x:c r="E20" s="1"/>
    </x:row>
    <x:row r="21">
      <x:c r="A21" s="1"/>
      <x:c r="B21" s="28" t="str">
        <x:v>4</x:v>
      </x:c>
      <x:c r="C21" s="30" t="str">
        <x:v>FREE SURFACE</x:v>
      </x:c>
      <x:c r="D21" s="24" t="str">
        <x:v>Free-surface correction calculator</x:v>
      </x:c>
      <x:c r="E21" s="1"/>
    </x:row>
    <x:row r="22">
      <x:c r="A22" s="1"/>
      <x:c r="B22" s="27" t="str">
        <x:v>5</x:v>
      </x:c>
      <x:c r="C22" s="29" t="str">
        <x:v>LOAD CONDITIONS</x:v>
      </x:c>
      <x:c r="D22" s="22" t="str">
        <x:v>Minimum operational condition register</x:v>
      </x:c>
      <x:c r="E22" s="1"/>
    </x:row>
    <x:row r="23">
      <x:c r="A23" s="1"/>
      <x:c r="B23" s="28" t="str">
        <x:v>6</x:v>
      </x:c>
      <x:c r="C23" s="30" t="str">
        <x:v>OPERATING LIMITS</x:v>
      </x:c>
      <x:c r="D23" s="24" t="str">
        <x:v>Limit and evidence checklist</x:v>
      </x:c>
      <x:c r="E23" s="1"/>
    </x:row>
    <x:row r="24">
      <x:c r="A24" s="1"/>
      <x:c r="B24" s="27" t="str">
        <x:v>7</x:v>
      </x:c>
      <x:c r="C24" s="29" t="str">
        <x:v>ASSURANCE</x:v>
      </x:c>
      <x:c r="D24" s="22" t="str">
        <x:v>Independent verification checklist</x:v>
      </x:c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32" t="str">
        <x:v>© 2026 Alper Alacam Naval Architecture . All rights reserved.</x:v>
      </x:c>
      <x:c r="C31" s="32"/>
      <x:c r="D31" s="32"/>
      <x:c r="E31" s="32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3:E3"/>
    <x:mergeCell ref="B4:E4"/>
    <x:mergeCell ref="B5:E5"/>
    <x:mergeCell ref="B6:E6"/>
    <x:mergeCell ref="B8:E8"/>
    <x:mergeCell ref="B10:E10"/>
    <x:mergeCell ref="B16:E16"/>
    <x:mergeCell ref="B31:E3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APPLICABILITY -- SPECIAL VESSEL STABILITY</x:v>
      </x:c>
      <x:c r="C2" s="35"/>
      <x:c r="D2" s="35"/>
      <x:c r="E2" s="35"/>
    </x:row>
    <x:row r="3" ht="52" customHeight="1">
      <x:c r="A3" s="1"/>
      <x:c r="B3" s="39" t="str">
        <x:v>Vessel label alone does not establish the governing criteria. Confirm service, size, persons, cargo and flag.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Item</x:v>
      </x:c>
      <x:c r="C6" s="41" t="str">
        <x:v>Meaning</x:v>
      </x:c>
      <x:c r="D6" s="41" t="str">
        <x:v>Design use</x:v>
      </x:c>
      <x:c r="E6" s="41" t="str">
        <x:v>Authority / limitation</x:v>
      </x:c>
    </x:row>
    <x:row r="7">
      <x:c r="A7" s="1"/>
      <x:c r="B7" s="44" t="str">
        <x:v>Special purpose ship</x:v>
      </x:c>
      <x:c r="C7" s="43" t="str">
        <x:v>Mechanically self-propelled; special personnel definition and scope are set by the SPS Code.</x:v>
      </x:c>
      <x:c r="D7" s="43" t="str">
        <x:v>Screen persons, GT and construction date.</x:v>
      </x:c>
      <x:c r="E7" s="43" t="str">
        <x:v>MSC.266(84); Administration decides application.</x:v>
      </x:c>
    </x:row>
    <x:row r="8">
      <x:c r="A8" s="1"/>
      <x:c r="B8" s="45" t="str">
        <x:v>Offshore supply vessel</x:v>
      </x:c>
      <x:c r="C8" s="22" t="str">
        <x:v>Decked vessel serving offshore installations with distinctive deck cargo and tank arrangements.</x:v>
      </x:c>
      <x:c r="D8" s="22" t="str">
        <x:v>Check OSV guideline scope and operational role.</x:v>
      </x:c>
      <x:c r="E8" s="22" t="str">
        <x:v>MSC.235(82); length and GT application clauses matter.</x:v>
      </x:c>
    </x:row>
    <x:row r="9">
      <x:c r="A9" s="1"/>
      <x:c r="B9" s="44" t="str">
        <x:v>Tug / towing vessel</x:v>
      </x:c>
      <x:c r="C9" s="43" t="str">
        <x:v>Towline force can create a large transverse heeling moment.</x:v>
      </x:c>
      <x:c r="D9" s="43" t="str">
        <x:v>Model tow point, force direction and tripping release.</x:v>
      </x:c>
      <x:c r="E9" s="43" t="str">
        <x:v>Use flag/class towing rules; no universal criterion inserted here.</x:v>
      </x:c>
    </x:row>
    <x:row r="10">
      <x:c r="A10" s="1"/>
      <x:c r="B10" s="45" t="str">
        <x:v>Crane / lifting vessel</x:v>
      </x:c>
      <x:c r="C10" s="22" t="str">
        <x:v>Suspended load shifts the combined centre of gravity and creates heel.</x:v>
      </x:c>
      <x:c r="D10" s="22" t="str">
        <x:v>Analyse every lift radius, outreach, hook load and environmental limit.</x:v>
      </x:c>
      <x:c r="E10" s="22" t="str">
        <x:v>Use approved lifting/stability manual.</x:v>
      </x:c>
    </x:row>
    <x:row r="11">
      <x:c r="A11" s="1"/>
      <x:c r="B11" s="44" t="str">
        <x:v>Dredger / hopper dredger</x:v>
      </x:c>
      <x:c r="C11" s="43" t="str">
        <x:v>Slurry free surface, density uncertainty and dredging operations affect stability.</x:v>
      </x:c>
      <x:c r="D11" s="43" t="str">
        <x:v>Control density, hopper level, overflow and spoil shift.</x:v>
      </x:c>
      <x:c r="E11" s="43" t="str">
        <x:v>Apply vessel-specific flag/class rules.</x:v>
      </x:c>
    </x:row>
    <x:row r="12">
      <x:c r="A12" s="1"/>
      <x:c r="B12" s="45" t="str">
        <x:v>Fishing vessel</x:v>
      </x:c>
      <x:c r="C12" s="22" t="str">
        <x:v>Gear, catch, icing and water on deck are key hazards.</x:v>
      </x:c>
      <x:c r="D12" s="22" t="str">
        <x:v>Use fishing-vessel instrument applicable to length/area.</x:v>
      </x:c>
      <x:c r="E12" s="22" t="str">
        <x:v>Do not apply cargo-ship criteria blindly.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47" t="str">
        <x:v>Sources and limits: IMO MSC.266(84), MSC.235(82), MSC.267(85).</x:v>
      </x:c>
      <x:c r="C14" s="47"/>
      <x:c r="D14" s="47"/>
      <x:c r="E14" s="47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HEELING MOMENTS -- CRANE AND TOWLINE SCREENING</x:v>
      </x:c>
      <x:c r="C2" s="35"/>
      <x:c r="D2" s="35"/>
      <x:c r="E2" s="35"/>
    </x:row>
    <x:row r="3" ht="52" customHeight="1">
      <x:c r="A3" s="1"/>
      <x:c r="B3" s="39" t="str">
        <x:v>Equilibrium heel estimate uses small-angle GM relation and must not be used near downflooding or large heel.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41" t="str">
        <x:v>Parameter</x:v>
      </x:c>
      <x:c r="C6" s="41" t="str">
        <x:v>Value</x:v>
      </x:c>
      <x:c r="D6" s="41" t="str">
        <x:v>Unit</x:v>
      </x:c>
      <x:c r="E6" s="41" t="str">
        <x:v>Explanation / source</x:v>
      </x:c>
    </x:row>
    <x:row r="7" ht="34" customHeight="1">
      <x:c r="A7" s="1"/>
      <x:c r="B7" s="48" t="str">
        <x:v>Displacement</x:v>
      </x:c>
      <x:c r="C7" s="52" t="n">
        <x:v>5000</x:v>
      </x:c>
      <x:c r="D7" s="54" t="str">
        <x:v>t</x:v>
      </x:c>
      <x:c r="E7" s="38" t="str">
        <x:v>Loading-condition displacement.</x:v>
      </x:c>
    </x:row>
    <x:row r="8" ht="34" customHeight="1">
      <x:c r="A8" s="1"/>
      <x:c r="B8" s="48" t="str">
        <x:v>GM corrected</x:v>
      </x:c>
      <x:c r="C8" s="52" t="n">
        <x:v>1.2</x:v>
      </x:c>
      <x:c r="D8" s="54" t="str">
        <x:v>m</x:v>
      </x:c>
      <x:c r="E8" s="38" t="str">
        <x:v>Use free-surface-corrected GM.</x:v>
      </x:c>
    </x:row>
    <x:row r="9" ht="34" customHeight="1">
      <x:c r="A9" s="1"/>
      <x:c r="B9" s="48" t="str">
        <x:v>Crane hook load</x:v>
      </x:c>
      <x:c r="C9" s="52" t="n">
        <x:v>50</x:v>
      </x:c>
      <x:c r="D9" s="54" t="str">
        <x:v>t</x:v>
      </x:c>
      <x:c r="E9" s="38" t="str">
        <x:v>Suspended load including rigging.</x:v>
      </x:c>
    </x:row>
    <x:row r="10" ht="34" customHeight="1">
      <x:c r="A10" s="1"/>
      <x:c r="B10" s="48" t="str">
        <x:v>Transverse outreach</x:v>
      </x:c>
      <x:c r="C10" s="52" t="n">
        <x:v>12</x:v>
      </x:c>
      <x:c r="D10" s="54" t="str">
        <x:v>m</x:v>
      </x:c>
      <x:c r="E10" s="38" t="str">
        <x:v>Horizontal transverse lever from centreline.</x:v>
      </x:c>
    </x:row>
    <x:row r="11" ht="34" customHeight="1">
      <x:c r="A11" s="1"/>
      <x:c r="B11" s="48" t="str">
        <x:v>Towline force</x:v>
      </x:c>
      <x:c r="C11" s="52" t="n">
        <x:v>0</x:v>
      </x:c>
      <x:c r="D11" s="54" t="str">
        <x:v>kN</x:v>
      </x:c>
      <x:c r="E11" s="38" t="str">
        <x:v>Use verified maximum force for towing case.</x:v>
      </x:c>
    </x:row>
    <x:row r="12" ht="34" customHeight="1">
      <x:c r="A12" s="1"/>
      <x:c r="B12" s="48" t="str">
        <x:v>Tow point height above CG</x:v>
      </x:c>
      <x:c r="C12" s="52" t="n">
        <x:v>3</x:v>
      </x:c>
      <x:c r="D12" s="54" t="str">
        <x:v>m</x:v>
      </x:c>
      <x:c r="E12" s="38" t="str">
        <x:v>Vertical lever for simplified transverse force case.</x:v>
      </x:c>
    </x:row>
    <x:row r="13">
      <x:c r="A13" s="1"/>
      <x:c r="B13" s="1"/>
      <x:c r="C13" s="1"/>
      <x:c r="D13" s="1"/>
      <x:c r="E13" s="1"/>
    </x:row>
    <x:row r="14">
      <x:c r="A14" s="1"/>
      <x:c r="B14" s="13" t="str">
        <x:v>SCREENING RESULTS</x:v>
      </x:c>
      <x:c r="C14" s="13"/>
      <x:c r="D14" s="13"/>
      <x:c r="E14" s="13"/>
    </x:row>
    <x:row r="15">
      <x:c r="A15" s="1"/>
      <x:c r="B15" s="41" t="str">
        <x:v>Result</x:v>
      </x:c>
      <x:c r="C15" s="41" t="str">
        <x:v>Value</x:v>
      </x:c>
      <x:c r="D15" s="41" t="str">
        <x:v>Unit</x:v>
      </x:c>
      <x:c r="E15" s="41" t="str">
        <x:v>Formula / limitation</x:v>
      </x:c>
    </x:row>
    <x:row r="16" ht="32" customHeight="1">
      <x:c r="A16" s="1"/>
      <x:c r="B16" s="57" t="str">
        <x:v>Crane heeling moment</x:v>
      </x:c>
      <x:c r="C16" s="59" t="n">
        <x:f>C9*C10*9.80665</x:f>
        <x:v>5883.99</x:v>
      </x:c>
      <x:c r="D16" s="61" t="str">
        <x:v>kN m</x:v>
      </x:c>
      <x:c r="E16" s="56" t="str">
        <x:v>Hook load × outreach × g.</x:v>
      </x:c>
    </x:row>
    <x:row r="17" ht="32" customHeight="1">
      <x:c r="A17" s="1"/>
      <x:c r="B17" s="57" t="str">
        <x:v>Towline heeling moment</x:v>
      </x:c>
      <x:c r="C17" s="59" t="n">
        <x:f>C11*C12</x:f>
        <x:v>0</x:v>
      </x:c>
      <x:c r="D17" s="61" t="str">
        <x:v>kN m</x:v>
      </x:c>
      <x:c r="E17" s="56" t="str">
        <x:v>Simplified transverse force × vertical lever.</x:v>
      </x:c>
    </x:row>
    <x:row r="18" ht="32" customHeight="1">
      <x:c r="A18" s="1"/>
      <x:c r="B18" s="57" t="str">
        <x:v>Total heeling moment</x:v>
      </x:c>
      <x:c r="C18" s="59" t="n">
        <x:f>C16+C17</x:f>
        <x:v>5883.99</x:v>
      </x:c>
      <x:c r="D18" s="61" t="str">
        <x:v>kN m</x:v>
      </x:c>
      <x:c r="E18" s="56" t="str">
        <x:v>Simultaneous load only if physically applicable.</x:v>
      </x:c>
    </x:row>
    <x:row r="19" ht="32" customHeight="1">
      <x:c r="A19" s="1"/>
      <x:c r="B19" s="57" t="str">
        <x:v>Small-angle heel</x:v>
      </x:c>
      <x:c r="C19" s="59" t="n">
        <x:f>C18/(C7*9.80665*C8)*180/PI()</x:f>
        <x:v>5.729577951308232</x:v>
      </x:c>
      <x:c r="D19" s="61" t="str">
        <x:v>deg</x:v>
      </x:c>
      <x:c r="E19" s="56" t="str">
        <x:v>Linear GM equilibrium; verify against full GZ and openings.</x:v>
      </x:c>
    </x:row>
    <x:row r="20" ht="32" customHeight="1">
      <x:c r="A20" s="1"/>
      <x:c r="B20" s="57" t="str">
        <x:v>Screening status</x:v>
      </x:c>
      <x:c r="C20" s="59" t="str">
        <x:f>IF(C19&lt;=5,"LOW-ANGLE SCREEN ONLY","FULL GZ / OPERATING LIMIT REVIEW REQUIRED")</x:f>
        <x:v>FULL GZ / OPERATING LIMIT REVIEW REQUIRED</x:v>
      </x:c>
      <x:c r="D20" s="61" t="str"/>
      <x:c r="E20" s="56" t="str">
        <x:v>5° is a workflow trigger, not a statutory limit.</x:v>
      </x:c>
    </x:row>
    <x:row r="21">
      <x:c r="A21" s="1"/>
      <x:c r="B21" s="1"/>
      <x:c r="C21" s="1"/>
      <x:c r="D21" s="1"/>
      <x:c r="E21" s="1"/>
    </x:row>
    <x:row r="22" ht="42" customHeight="1">
      <x:c r="A22" s="1"/>
      <x:c r="B22" s="47" t="str">
        <x:v>Sources and limits: First-principles moment equilibrium. Acceptance must come from applicable vessel rules and approved stability analysis.</x:v>
      </x:c>
      <x:c r="C22" s="47"/>
      <x:c r="D22" s="47"/>
      <x:c r="E22" s="47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  <x:mergeCell ref="B22:E2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FREE SURFACE -- VIRTUAL RISE OF G</x:v>
      </x:c>
      <x:c r="C2" s="35"/>
      <x:c r="D2" s="35"/>
      <x:c r="E2" s="35"/>
    </x:row>
    <x:row r="3" ht="52" customHeight="1">
      <x:c r="A3" s="1"/>
      <x:c r="B3" s="39" t="str">
        <x:v>Free-surface correction is the sum of liquid free-surface moments divided by displacement.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INPUTS</x:v>
      </x:c>
      <x:c r="C5" s="13"/>
      <x:c r="D5" s="13"/>
      <x:c r="E5" s="13"/>
    </x:row>
    <x:row r="6">
      <x:c r="A6" s="1"/>
      <x:c r="B6" s="41" t="str">
        <x:v>Parameter</x:v>
      </x:c>
      <x:c r="C6" s="41" t="str">
        <x:v>Value</x:v>
      </x:c>
      <x:c r="D6" s="41" t="str">
        <x:v>Unit</x:v>
      </x:c>
      <x:c r="E6" s="41" t="str">
        <x:v>Explanation / source</x:v>
      </x:c>
    </x:row>
    <x:row r="7" ht="34" customHeight="1">
      <x:c r="A7" s="1"/>
      <x:c r="B7" s="48" t="str">
        <x:v>Displacement</x:v>
      </x:c>
      <x:c r="C7" s="52" t="n">
        <x:v>5000</x:v>
      </x:c>
      <x:c r="D7" s="54" t="str">
        <x:v>t</x:v>
      </x:c>
      <x:c r="E7" s="38" t="str">
        <x:v>Current loading condition.</x:v>
      </x:c>
    </x:row>
    <x:row r="8" ht="34" customHeight="1">
      <x:c r="A8" s="1"/>
      <x:c r="B8" s="48" t="str">
        <x:v>Uncorrected GM</x:v>
      </x:c>
      <x:c r="C8" s="52" t="n">
        <x:v>1.2</x:v>
      </x:c>
      <x:c r="D8" s="54" t="str">
        <x:v>m</x:v>
      </x:c>
      <x:c r="E8" s="38" t="str">
        <x:v>Before free-surface correction.</x:v>
      </x:c>
    </x:row>
    <x:row r="9" ht="34" customHeight="1">
      <x:c r="A9" s="1"/>
      <x:c r="B9" s="48" t="str">
        <x:v>Tank 1 FSM</x:v>
      </x:c>
      <x:c r="C9" s="52" t="n">
        <x:v>600</x:v>
      </x:c>
      <x:c r="D9" s="54" t="str">
        <x:v>t m</x:v>
      </x:c>
      <x:c r="E9" s="38" t="str">
        <x:v>Use approved tank tables and actual density.</x:v>
      </x:c>
    </x:row>
    <x:row r="10" ht="34" customHeight="1">
      <x:c r="A10" s="1"/>
      <x:c r="B10" s="48" t="str">
        <x:v>Tank 2 FSM</x:v>
      </x:c>
      <x:c r="C10" s="52" t="n">
        <x:v>350</x:v>
      </x:c>
      <x:c r="D10" s="54" t="str">
        <x:v>t m</x:v>
      </x:c>
      <x:c r="E10" s="38" t="str">
        <x:v>Use approved tank tables and actual density.</x:v>
      </x:c>
    </x:row>
    <x:row r="11" ht="34" customHeight="1">
      <x:c r="A11" s="1"/>
      <x:c r="B11" s="48" t="str">
        <x:v>Tank 3 FSM</x:v>
      </x:c>
      <x:c r="C11" s="52" t="n">
        <x:v>0</x:v>
      </x:c>
      <x:c r="D11" s="54" t="str">
        <x:v>t m</x:v>
      </x:c>
      <x:c r="E11" s="38" t="str">
        <x:v>Add further tanks in the approved model.</x:v>
      </x:c>
    </x:row>
    <x:row r="12">
      <x:c r="A12" s="1"/>
      <x:c r="B12" s="1"/>
      <x:c r="C12" s="1"/>
      <x:c r="D12" s="1"/>
      <x:c r="E12" s="1"/>
    </x:row>
    <x:row r="13">
      <x:c r="A13" s="1"/>
      <x:c r="B13" s="13" t="str">
        <x:v>RESULTS</x:v>
      </x:c>
      <x:c r="C13" s="13"/>
      <x:c r="D13" s="13"/>
      <x:c r="E13" s="13"/>
    </x:row>
    <x:row r="14">
      <x:c r="A14" s="1"/>
      <x:c r="B14" s="41" t="str">
        <x:v>Result</x:v>
      </x:c>
      <x:c r="C14" s="41" t="str">
        <x:v>Value</x:v>
      </x:c>
      <x:c r="D14" s="41" t="str">
        <x:v>Unit</x:v>
      </x:c>
      <x:c r="E14" s="41" t="str">
        <x:v>Formula / limitation</x:v>
      </x:c>
    </x:row>
    <x:row r="15" ht="32" customHeight="1">
      <x:c r="A15" s="1"/>
      <x:c r="B15" s="57" t="str">
        <x:v>Total FSM</x:v>
      </x:c>
      <x:c r="C15" s="59" t="n">
        <x:f>SUM(C9:C11)</x:f>
        <x:v>950</x:v>
      </x:c>
      <x:c r="D15" s="61" t="str">
        <x:v>t m</x:v>
      </x:c>
      <x:c r="E15" s="56" t="str">
        <x:v>Sum of active slack-tank moments.</x:v>
      </x:c>
    </x:row>
    <x:row r="16" ht="32" customHeight="1">
      <x:c r="A16" s="1"/>
      <x:c r="B16" s="57" t="str">
        <x:v>Virtual rise GGv</x:v>
      </x:c>
      <x:c r="C16" s="59" t="n">
        <x:f>C15/C7</x:f>
        <x:v>0.19</x:v>
      </x:c>
      <x:c r="D16" s="61" t="str">
        <x:v>m</x:v>
      </x:c>
      <x:c r="E16" s="56" t="str">
        <x:v>FSM / displacement.</x:v>
      </x:c>
    </x:row>
    <x:row r="17" ht="32" customHeight="1">
      <x:c r="A17" s="1"/>
      <x:c r="B17" s="57" t="str">
        <x:v>Corrected GM</x:v>
      </x:c>
      <x:c r="C17" s="59" t="n">
        <x:f>C8-C16</x:f>
        <x:v>1.01</x:v>
      </x:c>
      <x:c r="D17" s="61" t="str">
        <x:v>m</x:v>
      </x:c>
      <x:c r="E17" s="56" t="str">
        <x:v>Uncorrected GM minus virtual rise.</x:v>
      </x:c>
    </x:row>
    <x:row r="18" ht="32" customHeight="1">
      <x:c r="A18" s="1"/>
      <x:c r="B18" s="57" t="str">
        <x:v>Screening status</x:v>
      </x:c>
      <x:c r="C18" s="59" t="str">
        <x:f>IF(C17&gt;0,"POSITIVE GM -- CHECK FULL CRITERIA","NON-POSITIVE GM -- REVISE CONDITION")</x:f>
        <x:v>POSITIVE GM -- CHECK FULL CRITERIA</x:v>
      </x:c>
      <x:c r="D18" s="61" t="str"/>
      <x:c r="E18" s="56" t="str">
        <x:v>Positive GM alone is not compliance.</x:v>
      </x:c>
    </x:row>
    <x:row r="19">
      <x:c r="A19" s="1"/>
      <x:c r="B19" s="1"/>
      <x:c r="C19" s="1"/>
      <x:c r="D19" s="1"/>
      <x:c r="E19" s="1"/>
    </x:row>
    <x:row r="20" ht="42" customHeight="1">
      <x:c r="A20" s="1"/>
      <x:c r="B20" s="47" t="str">
        <x:v>Sources and limits: 2008 IS Code free-surface principles; approved tank data and loading computer govern.</x:v>
      </x:c>
      <x:c r="C20" s="47"/>
      <x:c r="D20" s="47"/>
      <x:c r="E20" s="47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3:E13"/>
    <x:mergeCell ref="B20:E20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LOAD CONDITIONS -- EVIDENCE REGISTER</x:v>
      </x:c>
      <x:c r="C2" s="35"/>
      <x:c r="D2" s="35"/>
      <x:c r="E2" s="35"/>
    </x:row>
    <x:row r="3" ht="52" customHeight="1">
      <x:c r="A3" s="1"/>
      <x:c r="B3" s="39" t="str">
        <x:v>Each row is an analysis case to be completed in the approved stability model.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Condition</x:v>
      </x:c>
      <x:c r="C6" s="41" t="str">
        <x:v>Main risk driver</x:v>
      </x:c>
      <x:c r="D6" s="41" t="str">
        <x:v>Required evidence</x:v>
      </x:c>
      <x:c r="E6" s="41" t="str">
        <x:v>Status / owner</x:v>
      </x:c>
    </x:row>
    <x:row r="7">
      <x:c r="A7" s="1"/>
      <x:c r="B7" s="44" t="str">
        <x:v>Departure full load</x:v>
      </x:c>
      <x:c r="C7" s="43" t="str">
        <x:v>Maximum consumables and mission load</x:v>
      </x:c>
      <x:c r="D7" s="43" t="str">
        <x:v>Approved intact and damage results</x:v>
      </x:c>
      <x:c r="E7" s="43" t="str">
        <x:v>Project input required</x:v>
      </x:c>
    </x:row>
    <x:row r="8">
      <x:c r="A8" s="1"/>
      <x:c r="B8" s="45" t="str">
        <x:v>Arrival / minimum consumables</x:v>
      </x:c>
      <x:c r="C8" s="22" t="str">
        <x:v>High KG and reduced displacement</x:v>
      </x:c>
      <x:c r="D8" s="22" t="str">
        <x:v>Approved intact and damage results</x:v>
      </x:c>
      <x:c r="E8" s="22" t="str">
        <x:v>Project input required</x:v>
      </x:c>
    </x:row>
    <x:row r="9">
      <x:c r="A9" s="1"/>
      <x:c r="B9" s="44" t="str">
        <x:v>Worst free-surface case</x:v>
      </x:c>
      <x:c r="C9" s="43" t="str">
        <x:v>Slack tanks / hopper / deck liquids</x:v>
      </x:c>
      <x:c r="D9" s="43" t="str">
        <x:v>FSM list and corrected GM/GZ</x:v>
      </x:c>
      <x:c r="E9" s="43" t="str">
        <x:v>Project input required</x:v>
      </x:c>
    </x:row>
    <x:row r="10">
      <x:c r="A10" s="1"/>
      <x:c r="B10" s="45" t="str">
        <x:v>Maximum crane lift</x:v>
      </x:c>
      <x:c r="C10" s="22" t="str">
        <x:v>Hook load and outreach envelope</x:v>
      </x:c>
      <x:c r="D10" s="22" t="str">
        <x:v>Lift curve, heel, residual GZ, downflooding</x:v>
      </x:c>
      <x:c r="E10" s="22" t="str">
        <x:v>Project input required</x:v>
      </x:c>
    </x:row>
    <x:row r="11">
      <x:c r="A11" s="1"/>
      <x:c r="B11" s="44" t="str">
        <x:v>Maximum towline case</x:v>
      </x:c>
      <x:c r="C11" s="43" t="str">
        <x:v>Bollard pull and tow point geometry</x:v>
      </x:c>
      <x:c r="D11" s="43" t="str">
        <x:v>Towline heeling and release demonstration</x:v>
      </x:c>
      <x:c r="E11" s="43" t="str">
        <x:v>Project input required</x:v>
      </x:c>
    </x:row>
    <x:row r="12">
      <x:c r="A12" s="1"/>
      <x:c r="B12" s="45" t="str">
        <x:v>Damage cases</x:v>
      </x:c>
      <x:c r="C12" s="22" t="str">
        <x:v>Governing compartment groups</x:v>
      </x:c>
      <x:c r="D12" s="22" t="str">
        <x:v>Approved subdivision model and results</x:v>
      </x:c>
      <x:c r="E12" s="22" t="str">
        <x:v>Project input required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47" t="str">
        <x:v>Sources and limits: Project stability basis plus applicable IMO, flag and class requirements.</x:v>
      </x:c>
      <x:c r="C14" s="47"/>
      <x:c r="D14" s="47"/>
      <x:c r="E14" s="47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OPERATING LIMITS -- CONTROL PHILOSOPHY</x:v>
      </x:c>
      <x:c r="C2" s="35"/>
      <x:c r="D2" s="35"/>
      <x:c r="E2" s="35"/>
    </x:row>
    <x:row r="3" ht="52" customHeight="1">
      <x:c r="A3" s="1"/>
      <x:c r="B3" s="39" t="str">
        <x:v>Limits must be observable, measurable and tied to an action.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Limit</x:v>
      </x:c>
      <x:c r="C6" s="41" t="str">
        <x:v>Monitored variable</x:v>
      </x:c>
      <x:c r="D6" s="41" t="str">
        <x:v>Typical control</x:v>
      </x:c>
      <x:c r="E6" s="41" t="str">
        <x:v>Required project evidence</x:v>
      </x:c>
    </x:row>
    <x:row r="7">
      <x:c r="A7" s="1"/>
      <x:c r="B7" s="44" t="str">
        <x:v>Maximum KG / minimum GM</x:v>
      </x:c>
      <x:c r="C7" s="43" t="str">
        <x:v>Loading computer or condition sheet</x:v>
      </x:c>
      <x:c r="D7" s="43" t="str">
        <x:v>Block loading if limit exceeded</x:v>
      </x:c>
      <x:c r="E7" s="43" t="str">
        <x:v>Approved limiting KG/GM curve</x:v>
      </x:c>
    </x:row>
    <x:row r="8">
      <x:c r="A8" s="1"/>
      <x:c r="B8" s="45" t="str">
        <x:v>Downflooding margin</x:v>
      </x:c>
      <x:c r="C8" s="22" t="str">
        <x:v>Heel angle and closure status</x:v>
      </x:c>
      <x:c r="D8" s="22" t="str">
        <x:v>Secure openings; suspend operation</x:v>
      </x:c>
      <x:c r="E8" s="22" t="str">
        <x:v>Opening model and operating procedure</x:v>
      </x:c>
    </x:row>
    <x:row r="9">
      <x:c r="A9" s="1"/>
      <x:c r="B9" s="44" t="str">
        <x:v>Lift envelope</x:v>
      </x:c>
      <x:c r="C9" s="43" t="str">
        <x:v>Load, radius, boom azimuth, wind</x:v>
      </x:c>
      <x:c r="D9" s="43" t="str">
        <x:v>Rated-capacity limiter / stop-work</x:v>
      </x:c>
      <x:c r="E9" s="43" t="str">
        <x:v>Approved crane-stability envelope</x:v>
      </x:c>
    </x:row>
    <x:row r="10">
      <x:c r="A10" s="1"/>
      <x:c r="B10" s="45" t="str">
        <x:v>Tow envelope</x:v>
      </x:c>
      <x:c r="C10" s="22" t="str">
        <x:v>Towline force and direction</x:v>
      </x:c>
      <x:c r="D10" s="22" t="str">
        <x:v>Quick release / gob wire procedure</x:v>
      </x:c>
      <x:c r="E10" s="22" t="str">
        <x:v>Approved towing manual</x:v>
      </x:c>
    </x:row>
    <x:row r="11">
      <x:c r="A11" s="1"/>
      <x:c r="B11" s="44" t="str">
        <x:v>Tank state</x:v>
      </x:c>
      <x:c r="C11" s="43" t="str">
        <x:v>Fill %, density, free surface</x:v>
      </x:c>
      <x:c r="D11" s="43" t="str">
        <x:v>Tank sequence and prohibited slack states</x:v>
      </x:c>
      <x:c r="E11" s="43" t="str">
        <x:v>Approved tank plan</x:v>
      </x:c>
    </x:row>
    <x:row r="12">
      <x:c r="A12" s="1"/>
      <x:c r="B12" s="45" t="str">
        <x:v>Weather limit</x:v>
      </x:c>
      <x:c r="C12" s="22" t="str">
        <x:v>Wind, wave, icing forecast</x:v>
      </x:c>
      <x:c r="D12" s="22" t="str">
        <x:v>Suspend mission / seek shelter</x:v>
      </x:c>
      <x:c r="E12" s="22" t="str">
        <x:v>Defined basis and master’s procedure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47" t="str">
        <x:v>Sources and limits: IMO instrument plus Administration/class-approved operating manuals.</x:v>
      </x:c>
      <x:c r="C14" s="47"/>
      <x:c r="D14" s="47"/>
      <x:c r="E14" s="47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ASSURANCE -- DO NOT CONFUSE SCREENING WITH APPROVAL</x:v>
      </x:c>
      <x:c r="C2" s="35"/>
      <x:c r="D2" s="35"/>
      <x:c r="E2" s="35"/>
    </x:row>
    <x:row r="3" ht="52" customHeight="1">
      <x:c r="A3" s="1"/>
      <x:c r="B3" s="39" t="str">
        <x:v>A green spreadsheet result is not statutory or class approval. 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KEY KNOWLEDGE</x:v>
      </x:c>
      <x:c r="C5" s="13"/>
      <x:c r="D5" s="13"/>
      <x:c r="E5" s="13"/>
    </x:row>
    <x:row r="6">
      <x:c r="A6" s="1"/>
      <x:c r="B6" s="41" t="str">
        <x:v>Check</x:v>
      </x:c>
      <x:c r="C6" s="41" t="str">
        <x:v>Evidence expected</x:v>
      </x:c>
      <x:c r="D6" s="41" t="str">
        <x:v>Independent check</x:v>
      </x:c>
      <x:c r="E6" s="41" t="str">
        <x:v>Close-out</x:v>
      </x:c>
    </x:row>
    <x:row r="7">
      <x:c r="A7" s="1"/>
      <x:c r="B7" s="44" t="str">
        <x:v>Geometry and openings</x:v>
      </x:c>
      <x:c r="C7" s="43" t="str">
        <x:v>Hydrostatic model and downflooding points</x:v>
      </x:c>
      <x:c r="D7" s="43" t="str">
        <x:v>Model QA / inclining alignment</x:v>
      </x:c>
      <x:c r="E7" s="43" t="str">
        <x:v>Open</x:v>
      </x:c>
    </x:row>
    <x:row r="8">
      <x:c r="A8" s="1"/>
      <x:c r="B8" s="45" t="str">
        <x:v>Lightship and KG</x:v>
      </x:c>
      <x:c r="C8" s="22" t="str">
        <x:v>Inclining or lightweight survey</x:v>
      </x:c>
      <x:c r="D8" s="22" t="str">
        <x:v>Weight reconciliation</x:v>
      </x:c>
      <x:c r="E8" s="22" t="str">
        <x:v>Open</x:v>
      </x:c>
    </x:row>
    <x:row r="9">
      <x:c r="A9" s="1"/>
      <x:c r="B9" s="44" t="str">
        <x:v>External moments</x:v>
      </x:c>
      <x:c r="C9" s="43" t="str">
        <x:v>Crane/tow/mission equipment load basis</x:v>
      </x:c>
      <x:c r="D9" s="43" t="str">
        <x:v>Vendor and class review</x:v>
      </x:c>
      <x:c r="E9" s="43" t="str">
        <x:v>Open</x:v>
      </x:c>
    </x:row>
    <x:row r="10">
      <x:c r="A10" s="1"/>
      <x:c r="B10" s="45" t="str">
        <x:v>Free surfaces</x:v>
      </x:c>
      <x:c r="C10" s="22" t="str">
        <x:v>Tank geometry and densities</x:v>
      </x:c>
      <x:c r="D10" s="22" t="str">
        <x:v>FSM reconciliation</x:v>
      </x:c>
      <x:c r="E10" s="22" t="str">
        <x:v>Open</x:v>
      </x:c>
    </x:row>
    <x:row r="11">
      <x:c r="A11" s="1"/>
      <x:c r="B11" s="44" t="str">
        <x:v>Damage model</x:v>
      </x:c>
      <x:c r="C11" s="43" t="str">
        <x:v>Compartments, permeability, cross-flooding</x:v>
      </x:c>
      <x:c r="D11" s="43" t="str">
        <x:v>Independent calculation</x:v>
      </x:c>
      <x:c r="E11" s="43" t="str">
        <x:v>Open</x:v>
      </x:c>
    </x:row>
    <x:row r="12">
      <x:c r="A12" s="1"/>
      <x:c r="B12" s="45" t="str">
        <x:v>Operations</x:v>
      </x:c>
      <x:c r="C12" s="22" t="str">
        <x:v>Manuals, alarms, limits and training</x:v>
      </x:c>
      <x:c r="D12" s="22" t="str">
        <x:v>Survey / drills</x:v>
      </x:c>
      <x:c r="E12" s="22" t="str">
        <x:v>Open</x:v>
      </x:c>
    </x:row>
    <x:row r="13">
      <x:c r="A13" s="1"/>
      <x:c r="B13" s="1"/>
      <x:c r="C13" s="1"/>
      <x:c r="D13" s="1"/>
      <x:c r="E13" s="1"/>
    </x:row>
    <x:row r="14" ht="42" customHeight="1">
      <x:c r="A14" s="1"/>
      <x:c r="B14" s="47" t="str">
        <x:v>Sources and limits: Flag Administration and recognized organization approval process.</x:v>
      </x:c>
      <x:c r="C14" s="47"/>
      <x:c r="D14" s="47"/>
      <x:c r="E14" s="47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4:E1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" hidden="0" customWidth="1"/>
    <x:col min="2" max="2" width="38" hidden="0" customWidth="1"/>
    <x:col min="3" max="3" width="16" hidden="0" customWidth="1"/>
    <x:col min="4" max="4" width="15" hidden="0" customWidth="1"/>
    <x:col min="5" max="5" width="48" hidden="0" customWidth="1"/>
  </x:cols>
  <x:sheetData>
    <x:row r="1">
      <x:c r="A1" s="1"/>
      <x:c r="B1" s="1"/>
      <x:c r="C1" s="1"/>
      <x:c r="D1" s="1"/>
      <x:c r="E1" s="1"/>
    </x:row>
    <x:row r="2">
      <x:c r="A2" s="1"/>
      <x:c r="B2" s="35" t="str">
        <x:v>REFERENCE TABLES -- AUTHORITATIVE SOURCES</x:v>
      </x:c>
      <x:c r="C2" s="35"/>
      <x:c r="D2" s="35"/>
      <x:c r="E2" s="35"/>
    </x:row>
    <x:row r="3" ht="52" customHeight="1">
      <x:c r="A3" s="1"/>
      <x:c r="B3" s="39" t="str">
        <x:v>Technical status checked 19 July 2026. Educational screening tool only; flag Administration and classification society requirements govern.</x:v>
      </x:c>
      <x:c r="C3" s="39"/>
      <x:c r="D3" s="39"/>
      <x:c r="E3" s="39"/>
    </x:row>
    <x:row r="4">
      <x:c r="A4" s="1"/>
      <x:c r="B4" s="1"/>
      <x:c r="C4" s="1"/>
      <x:c r="D4" s="1"/>
      <x:c r="E4" s="1"/>
    </x:row>
    <x:row r="5">
      <x:c r="A5" s="1"/>
      <x:c r="B5" s="13" t="str">
        <x:v>SOURCE REGISTER</x:v>
      </x:c>
      <x:c r="C5" s="13"/>
      <x:c r="D5" s="13"/>
      <x:c r="E5" s="13"/>
    </x:row>
    <x:row r="6">
      <x:c r="A6" s="1"/>
      <x:c r="B6" s="41" t="str">
        <x:v>Instrument / source</x:v>
      </x:c>
      <x:c r="C6" s="41" t="str">
        <x:v>Issuer</x:v>
      </x:c>
      <x:c r="D6" s="41" t="str">
        <x:v>Use in this volume</x:v>
      </x:c>
      <x:c r="E6" s="41" t="str">
        <x:v>Official URL</x:v>
      </x:c>
    </x:row>
    <x:row r="7">
      <x:c r="A7" s="1"/>
      <x:c r="B7" s="44" t="str">
        <x:v>2008 IS Code, MSC.267(85)</x:v>
      </x:c>
      <x:c r="C7" s="43" t="str">
        <x:v>IMO</x:v>
      </x:c>
      <x:c r="D7" s="43" t="str">
        <x:v>Intact stability framework and general criteria</x:v>
      </x:c>
      <x:c r="E7" s="62" t="str">
        <x:v>https://wwwcdn.imo.org/localresources/en/KnowledgeCentre/IndexofIMOResolutions/MSCResolutions/MSC.267(85).pdf</x:v>
      </x:c>
    </x:row>
    <x:row r="8">
      <x:c r="A8" s="1"/>
      <x:c r="B8" s="45" t="str">
        <x:v>SOLAS chapter II-1</x:v>
      </x:c>
      <x:c r="C8" s="22" t="str">
        <x:v>IMO</x:v>
      </x:c>
      <x:c r="D8" s="22" t="str">
        <x:v>Subdivision and damage stability framework</x:v>
      </x:c>
      <x:c r="E8" s="62" t="str">
        <x:v>https://www.imo.org/en/ourwork/safety/pages/shipdesignandstability-default.aspx</x:v>
      </x:c>
    </x:row>
    <x:row r="9">
      <x:c r="A9" s="1"/>
      <x:c r="B9" s="44" t="str">
        <x:v>2008 SPS Code, MSC.266(84)</x:v>
      </x:c>
      <x:c r="C9" s="43" t="str">
        <x:v>IMO</x:v>
      </x:c>
      <x:c r="D9" s="43" t="str">
        <x:v>Special purpose ships</x:v>
      </x:c>
      <x:c r="E9" s="62" t="str">
        <x:v>https://wwwcdn.imo.org/localresources/en/KnowledgeCentre/IndexofIMOResolutions/MSCResolutions/MSC.266(84).pdf</x:v>
      </x:c>
    </x:row>
    <x:row r="10">
      <x:c r="A10" s="1"/>
      <x:c r="B10" s="45" t="str">
        <x:v>OSV Guidelines, MSC.235(82)</x:v>
      </x:c>
      <x:c r="C10" s="22" t="str">
        <x:v>IMO</x:v>
      </x:c>
      <x:c r="D10" s="22" t="str">
        <x:v>Offshore supply vessel design and damage stability</x:v>
      </x:c>
      <x:c r="E10" s="62" t="str">
        <x:v>https://wwwcdn.imo.org/localresources/en/KnowledgeCentre/IndexofIMOResolutions/MSCResolutions/MSC.235(82).pdf</x:v>
      </x:c>
    </x:row>
    <x:row r="11">
      <x:c r="A11" s="1"/>
      <x:c r="B11" s="1"/>
      <x:c r="C11" s="1"/>
      <x:c r="D11" s="1"/>
      <x:c r="E11" s="1"/>
    </x:row>
    <x:row r="12" ht="42" customHeight="1">
      <x:c r="A12" s="1"/>
      <x:c r="B12" s="47" t="str">
        <x:v>Sources and limits: URLs are recorded in plain text for audit. Always confirm amendments, flag circulars and the selected class rules at project start.</x:v>
      </x:c>
      <x:c r="C12" s="47"/>
      <x:c r="D12" s="47"/>
      <x:c r="E12" s="47"/>
    </x:row>
    <x:row r="13">
      <x:c r="A13" s="1"/>
      <x:c r="B13" s="1"/>
      <x:c r="C13" s="1"/>
      <x:c r="D13" s="1"/>
      <x:c r="E13" s="1"/>
    </x:row>
    <x:row r="14">
      <x:c r="A14" s="1"/>
      <x:c r="B14" s="1"/>
      <x:c r="C14" s="1"/>
      <x:c r="D14" s="1"/>
      <x:c r="E14" s="1"/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  <x:row r="17">
      <x:c r="A17" s="1"/>
      <x:c r="B17" s="1"/>
      <x:c r="C17" s="1"/>
      <x:c r="D17" s="1"/>
      <x:c r="E17" s="1"/>
    </x:row>
    <x:row r="18">
      <x:c r="A18" s="1"/>
      <x:c r="B18" s="1"/>
      <x:c r="C18" s="1"/>
      <x:c r="D18" s="1"/>
      <x:c r="E18" s="1"/>
    </x:row>
    <x:row r="19">
      <x:c r="A19" s="1"/>
      <x:c r="B19" s="1"/>
      <x:c r="C19" s="1"/>
      <x:c r="D19" s="1"/>
      <x:c r="E19" s="1"/>
    </x:row>
    <x:row r="20">
      <x:c r="A20" s="1"/>
      <x:c r="B20" s="1"/>
      <x:c r="C20" s="1"/>
      <x:c r="D20" s="1"/>
      <x:c r="E20" s="1"/>
    </x:row>
    <x:row r="21">
      <x:c r="A21" s="1"/>
      <x:c r="B21" s="1"/>
      <x:c r="C21" s="1"/>
      <x:c r="D21" s="1"/>
      <x:c r="E21" s="1"/>
    </x:row>
    <x:row r="22">
      <x:c r="A22" s="1"/>
      <x:c r="B22" s="1"/>
      <x:c r="C22" s="1"/>
      <x:c r="D22" s="1"/>
      <x:c r="E22" s="1"/>
    </x:row>
    <x:row r="23">
      <x:c r="A23" s="1"/>
      <x:c r="B23" s="1"/>
      <x:c r="C23" s="1"/>
      <x:c r="D23" s="1"/>
      <x:c r="E23" s="1"/>
    </x:row>
    <x:row r="24">
      <x:c r="A24" s="1"/>
      <x:c r="B24" s="1"/>
      <x:c r="C24" s="1"/>
      <x:c r="D24" s="1"/>
      <x:c r="E24" s="1"/>
    </x:row>
    <x:row r="25">
      <x:c r="A25" s="1"/>
      <x:c r="B25" s="1"/>
      <x:c r="C25" s="1"/>
      <x:c r="D25" s="1"/>
      <x:c r="E25" s="1"/>
    </x:row>
    <x:row r="26">
      <x:c r="A26" s="1"/>
      <x:c r="B26" s="1"/>
      <x:c r="C26" s="1"/>
      <x:c r="D26" s="1"/>
      <x:c r="E26" s="1"/>
    </x:row>
    <x:row r="27">
      <x:c r="A27" s="1"/>
      <x:c r="B27" s="1"/>
      <x:c r="C27" s="1"/>
      <x:c r="D27" s="1"/>
      <x:c r="E27" s="1"/>
    </x:row>
    <x:row r="28">
      <x:c r="A28" s="1"/>
      <x:c r="B28" s="1"/>
      <x:c r="C28" s="1"/>
      <x:c r="D28" s="1"/>
      <x:c r="E28" s="1"/>
    </x:row>
    <x:row r="29">
      <x:c r="A29" s="1"/>
      <x:c r="B29" s="1"/>
      <x:c r="C29" s="1"/>
      <x:c r="D29" s="1"/>
      <x:c r="E29" s="1"/>
    </x:row>
    <x:row r="30">
      <x:c r="A30" s="1"/>
      <x:c r="B30" s="1"/>
      <x:c r="C30" s="1"/>
      <x:c r="D30" s="1"/>
      <x:c r="E30" s="1"/>
    </x:row>
    <x:row r="31">
      <x:c r="A31" s="1"/>
      <x:c r="B31" s="1"/>
      <x:c r="C31" s="1"/>
      <x:c r="D31" s="1"/>
      <x:c r="E31" s="1"/>
    </x:row>
    <x:row r="32">
      <x:c r="A32" s="1"/>
      <x:c r="B32" s="1"/>
      <x:c r="C32" s="1"/>
      <x:c r="D32" s="1"/>
      <x:c r="E32" s="1"/>
    </x:row>
    <x:row r="33">
      <x:c r="A33" s="1"/>
      <x:c r="B33" s="1"/>
      <x:c r="C33" s="1"/>
      <x:c r="D33" s="1"/>
      <x:c r="E33" s="1"/>
    </x:row>
    <x:row r="34">
      <x:c r="A34" s="1"/>
      <x:c r="B34" s="1"/>
      <x:c r="C34" s="1"/>
      <x:c r="D34" s="1"/>
      <x:c r="E34" s="1"/>
    </x:row>
    <x:row r="35">
      <x:c r="A35" s="1"/>
      <x:c r="B35" s="1"/>
      <x:c r="C35" s="1"/>
      <x:c r="D35" s="1"/>
      <x:c r="E35" s="1"/>
    </x:row>
  </x:sheetData>
  <x:mergeCells>
    <x:mergeCell ref="B2:E2"/>
    <x:mergeCell ref="B3:E3"/>
    <x:mergeCell ref="B5:E5"/>
    <x:mergeCell ref="B12:E12"/>
  </x:mergeCells>
  <x:pageMargins left="0.7" right="0.7" top="0.75" bottom="0.75" header="0.3" footer="0.3"/>
</x:worksheet>
</file>