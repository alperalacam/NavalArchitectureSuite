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0d2c867c2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7d2b289d3554e35"/>
    <x:sheet xmlns:r="http://schemas.openxmlformats.org/officeDocument/2006/relationships" name="WORK PACKAGES" sheetId="2" r:id="R7244a03c991e4ef6"/>
    <x:sheet xmlns:r="http://schemas.openxmlformats.org/officeDocument/2006/relationships" name="BLOCK STRATEGY" sheetId="3" r:id="R766246c729ee421b"/>
    <x:sheet xmlns:r="http://schemas.openxmlformats.org/officeDocument/2006/relationships" name="ZONE OUTFITTING" sheetId="4" r:id="R28186ccbbf664004"/>
    <x:sheet xmlns:r="http://schemas.openxmlformats.org/officeDocument/2006/relationships" name="QUALITY CONTROL" sheetId="5" r:id="R57a7b0912ebc4b39"/>
    <x:sheet xmlns:r="http://schemas.openxmlformats.org/officeDocument/2006/relationships" name="COMPLETION" sheetId="6" r:id="R4a1f71b5da6544cf"/>
    <x:sheet xmlns:r="http://schemas.openxmlformats.org/officeDocument/2006/relationships" name="PRODUCTION RISKS" sheetId="7" r:id="Re0bdc19c942f47a1"/>
    <x:sheet xmlns:r="http://schemas.openxmlformats.org/officeDocument/2006/relationships" name="REFERENCE TABLES" sheetId="8" r:id="R5a98e30652c1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%"/>
    <x:numFmt numFmtId="202" formatCode="0.00"/>
    <x:numFmt numFmtId="203" formatCode="0.000"/>
  </x:numFmts>
  <x:fonts count="16">
    <x:font>
      <x:sz val="11"/>
      <x:name val="Carlito"/>
    </x:font>
    <x:font>
      <x:sz val="11"/>
      <x:color rgb="FF000000"/>
      <x:name val="Carlito"/>
    </x:font>
    <x:font>
      <x:b/>
      <x:sz val="11"/>
      <x:color rgb="FFC8960C"/>
      <x:name val="Carlito"/>
    </x:font>
    <x:font>
      <x:b/>
      <x:sz val="11"/>
      <x:color rgb="FFFFFFFF"/>
      <x:name val="Carlito"/>
    </x:font>
    <x:font>
      <x:i/>
      <x:sz val="11"/>
      <x:color rgb="FFD6E8F7"/>
      <x:name val="Carlito"/>
    </x:font>
    <x:font>
      <x:sz val="11"/>
      <x:color rgb="FFFFFFFF"/>
      <x:name val="Carlito"/>
    </x:font>
    <x:font>
      <x:b/>
      <x:sz val="11"/>
      <x:color rgb="FF1B3A6B"/>
      <x:name val="Carlito"/>
    </x:font>
    <x:font>
      <x:sz val="11"/>
      <x:color rgb="FF404040"/>
      <x:name val="Carlito"/>
    </x:font>
    <x:font>
      <x:b/>
      <x:sz val="11"/>
      <x:color rgb="FF2E6DA4"/>
      <x:name val="Carlito"/>
    </x:font>
    <x:font>
      <x:i/>
      <x:sz val="11"/>
      <x:color rgb="FFC8960C"/>
      <x:name val="Carlito"/>
    </x:font>
    <x:font>
      <x:i/>
      <x:sz val="11"/>
      <x:color rgb="FF404040"/>
      <x:name val="Carlito"/>
    </x:font>
    <x:font>
      <x:sz val="11"/>
      <x:color rgb="FF0000FF"/>
      <x:name val="Carlito"/>
    </x:font>
    <x:font>
      <x:i/>
      <x:sz val="11"/>
      <x:color rgb="FF777777"/>
      <x:name val="Carlito"/>
    </x:font>
    <x:font>
      <x:b/>
      <x:sz val="11"/>
      <x:color rgb="FF000000"/>
      <x:name val="Carlito"/>
    </x:font>
    <x:font>
      <x:i/>
      <x:sz val="11"/>
      <x:color rgb="FF808080"/>
      <x:name val="Carlito"/>
    </x:font>
    <x:font>
      <x:sz val="11"/>
      <x:color rgb="FF0563C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A1F3D"/>
      </x:patternFill>
    </x:fill>
    <x:fill>
      <x:patternFill patternType="solid">
        <x:fgColor rgb="FF2E6DA4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  <x:fill>
      <x:patternFill patternType="solid">
        <x:fgColor rgb="FFFFFFFF"/>
      </x:patternFill>
    </x:fill>
    <x:fill>
      <x:patternFill patternType="solid">
        <x:fgColor rgb="FFCFE2F3"/>
      </x:patternFill>
    </x:fill>
    <x:fill>
      <x:patternFill patternType="solid">
        <x:fgColor rgb="FF1B3A6B"/>
      </x:patternFill>
    </x:fill>
    <x:fill>
      <x:patternFill patternType="solid">
        <x:fgColor rgb="FFD6E8F7"/>
      </x:patternFill>
    </x:fill>
    <x:fill>
      <x:patternFill patternType="solid">
        <x:fgColor rgb="FFFFF3CD"/>
      </x:patternFill>
    </x:fill>
    <x:fill>
      <x:patternFill patternType="solid">
        <x:fgColor rgb="FFD9EAD3"/>
      </x:patternFill>
    </x:fill>
    <x:fill>
      <x:patternFill patternType="solid">
        <x:fgColor rgb="FFE3F2FD"/>
      </x:patternFill>
    </x:fill>
  </x:fills>
  <x:borders count="2">
    <x:border/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left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/>
    <x:xf numFmtId="0" fontId="11" fillId="10" borderId="0" xfId="0" applyNumberFormat="1" applyFont="1" applyFill="1" applyBorder="1"/>
    <x:xf numFmtId="200" fontId="11" fillId="10" borderId="0" xfId="0" applyNumberFormat="1" applyFont="1" applyFill="1" applyBorder="1"/>
    <x:xf numFmtId="201" fontId="11" fillId="10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202" fontId="0" fillId="11" borderId="0" xfId="0" applyNumberFormat="1" applyFont="1" applyFill="1" applyBorder="1"/>
    <x:xf numFmtId="0" fontId="1" fillId="11" borderId="0" xfId="0" applyNumberFormat="1" applyFont="1" applyFill="1" applyBorder="1"/>
    <x:xf numFmtId="200" fontId="1" fillId="11" borderId="0" xfId="0" applyNumberFormat="1" applyFont="1" applyFill="1" applyBorder="1"/>
    <x:xf numFmtId="202" fontId="1" fillId="11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/>
    <x:xf numFmtId="0" fontId="11" fillId="10" borderId="1" xfId="0" applyNumberFormat="1" applyFont="1" applyFill="1" applyBorder="1"/>
    <x:xf numFmtId="0" fontId="11" fillId="10" borderId="1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horizontal="center" wrapText="1"/>
    </x:xf>
    <x:xf numFmtId="203" fontId="13" fillId="11" borderId="0" xfId="0" applyNumberFormat="1" applyFont="1" applyFill="1" applyBorder="1" applyAlignment="1">
      <x:alignment horizontal="center" wrapText="1"/>
    </x:xf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horizontal="center" wrapText="1"/>
    </x:xf>
    <x:xf numFmtId="201" fontId="13" fillId="11" borderId="0" xfId="0" applyNumberFormat="1" applyFont="1" applyFill="1" applyBorder="1" applyAlignment="1">
      <x:alignment horizontal="center" wrapText="1"/>
    </x:xf>
    <x:xf numFmtId="0" fontId="15" fillId="1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b3c8d5f934e5a" /><Relationship Type="http://schemas.openxmlformats.org/officeDocument/2006/relationships/theme" Target="/xl/theme/theme1.xml" Id="Rf7405607bbcb4c3e" /><Relationship Type="http://schemas.openxmlformats.org/officeDocument/2006/relationships/sharedStrings" Target="/xl/sharedStrings.xml" Id="R281a76fa55f348af" /><Relationship Type="http://schemas.openxmlformats.org/officeDocument/2006/relationships/worksheet" Target="/xl/worksheets/sheet1.xml" Id="R87d2b289d3554e35" /><Relationship Type="http://schemas.openxmlformats.org/officeDocument/2006/relationships/worksheet" Target="/xl/worksheets/sheet2.xml" Id="R7244a03c991e4ef6" /><Relationship Type="http://schemas.openxmlformats.org/officeDocument/2006/relationships/worksheet" Target="/xl/worksheets/sheet3.xml" Id="R766246c729ee421b" /><Relationship Type="http://schemas.openxmlformats.org/officeDocument/2006/relationships/worksheet" Target="/xl/worksheets/sheet4.xml" Id="R28186ccbbf664004" /><Relationship Type="http://schemas.openxmlformats.org/officeDocument/2006/relationships/worksheet" Target="/xl/worksheets/sheet5.xml" Id="R57a7b0912ebc4b39" /><Relationship Type="http://schemas.openxmlformats.org/officeDocument/2006/relationships/worksheet" Target="/xl/worksheets/sheet6.xml" Id="R4a1f71b5da6544cf" /><Relationship Type="http://schemas.openxmlformats.org/officeDocument/2006/relationships/worksheet" Target="/xl/worksheets/sheet7.xml" Id="Re0bdc19c942f47a1" /><Relationship Type="http://schemas.openxmlformats.org/officeDocument/2006/relationships/worksheet" Target="/xl/worksheets/sheet8.xml" Id="R5a98e30652c147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2"/>
      <x:c r="C2" s="2"/>
      <x:c r="D2" s="2"/>
      <x:c r="E2" s="2"/>
    </x:row>
    <x:row r="3">
      <x:c r="A3" s="1"/>
      <x:c r="B3" s="4" t="str">
        <x:v>NAVAL ARCHITECTURE</x:v>
      </x:c>
      <x:c r="C3" s="4"/>
      <x:c r="D3" s="4"/>
      <x:c r="E3" s="4"/>
    </x:row>
    <x:row r="4">
      <x:c r="A4" s="1"/>
      <x:c r="B4" s="6" t="str">
        <x:v>TEACHING TOOLKIT</x:v>
      </x:c>
      <x:c r="C4" s="6"/>
      <x:c r="D4" s="6"/>
      <x:c r="E4" s="6"/>
    </x:row>
    <x:row r="5">
      <x:c r="A5" s="1"/>
      <x:c r="B5" s="4" t="str">
        <x:v>VOLUME 32 :  Ship Production and Outfitting</x:v>
      </x:c>
      <x:c r="C5" s="4"/>
      <x:c r="D5" s="4"/>
      <x:c r="E5" s="4"/>
    </x:row>
    <x:row r="6">
      <x:c r="A6" s="1"/>
      <x:c r="B6" s="8" t="str">
        <x:v>Block Construction. Zone Outfitting. Productivity. Quality. Completion.</x:v>
      </x:c>
      <x:c r="C6" s="8"/>
      <x:c r="D6" s="8"/>
      <x:c r="E6" s="8"/>
    </x:row>
    <x:row r="7">
      <x:c r="A7" s="1"/>
      <x:c r="B7" s="2"/>
      <x:c r="C7" s="2"/>
      <x:c r="D7" s="2"/>
      <x:c r="E7" s="2"/>
    </x:row>
    <x:row r="8">
      <x:c r="A8" s="1"/>
      <x:c r="B8" s="10" t="str">
        <x:v>Alper Alacam  |  Naval Architect and Marine Engineer  |  Turkiye  |  2026</x:v>
      </x:c>
      <x:c r="C8" s="10"/>
      <x:c r="D8" s="10"/>
      <x:c r="E8" s="10"/>
    </x:row>
    <x:row r="9">
      <x:c r="A9" s="1"/>
      <x:c r="B9" s="2"/>
      <x:c r="C9" s="2"/>
      <x:c r="D9" s="2"/>
      <x:c r="E9" s="2"/>
    </x:row>
    <x:row r="10">
      <x:c r="A10" s="1"/>
      <x:c r="B10" s="13" t="str">
        <x:v>ABOUT THIS VOLUME</x:v>
      </x:c>
      <x:c r="C10" s="13"/>
      <x:c r="D10" s="13"/>
      <x:c r="E10" s="13"/>
    </x:row>
    <x:row r="11" ht="58" customHeight="1">
      <x:c r="A11" s="1"/>
      <x:c r="B11" s="15" t="str">
        <x:v>Why this topic matters</x:v>
      </x:c>
      <x:c r="C11" s="17" t="str">
        <x:v>Production performance is governed by design maturity, material availability, work sequencing, access, quality and completion—not welding rate alone.</x:v>
      </x:c>
      <x:c r="D11" s="1"/>
      <x:c r="E11" s="1"/>
    </x:row>
    <x:row r="12" ht="58" customHeight="1">
      <x:c r="A12" s="1"/>
      <x:c r="B12" s="15" t="str">
        <x:v>What this volume covers</x:v>
      </x:c>
      <x:c r="C12" s="17" t="str">
        <x:v>Work-package planning; earned-hours progress; block and zone strategy; outfit maturity gates; dimensional and welding quality; testing and mechanical completion.</x:v>
      </x:c>
      <x:c r="D12" s="1"/>
      <x:c r="E12" s="1"/>
    </x:row>
    <x:row r="13" ht="58" customHeight="1">
      <x:c r="A13" s="1"/>
      <x:c r="B13" s="15" t="str">
        <x:v>Verification boundary</x:v>
      </x:c>
      <x:c r="C13" s="17" t="str">
        <x:v>Productivity benchmarks are project inputs, not universal constants. Contract, yard procedures, class rules, statutory requirements and OEM instructions control.</x:v>
      </x:c>
      <x:c r="D13" s="1"/>
      <x:c r="E13" s="1"/>
    </x:row>
    <x:row r="14" ht="58" customHeight="1">
      <x:c r="A14" s="1"/>
      <x:c r="B14" s="15" t="str">
        <x:v>Primary references</x:v>
      </x:c>
      <x:c r="C14" s="17" t="str">
        <x:v>IACS Recommendation 47 Rev.10 Corr.1 (Oct 2025); SOLAS; yard quality system and class-approved plans.</x:v>
      </x:c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3" t="str">
        <x:v>WORKSHEET INDEX</x:v>
      </x:c>
      <x:c r="C16" s="13"/>
      <x:c r="D16" s="13"/>
      <x:c r="E16" s="13"/>
    </x:row>
    <x:row r="17">
      <x:c r="A17" s="1"/>
      <x:c r="B17" s="20" t="str">
        <x:v>No.</x:v>
      </x:c>
      <x:c r="C17" s="20" t="str">
        <x:v>Sheet</x:v>
      </x:c>
      <x:c r="D17" s="20" t="str">
        <x:v>Contents</x:v>
      </x:c>
      <x:c r="E17" s="1"/>
    </x:row>
    <x:row r="18">
      <x:c r="A18" s="1"/>
      <x:c r="B18" s="27" t="str">
        <x:v>1</x:v>
      </x:c>
      <x:c r="C18" s="29" t="str">
        <x:v>COVER</x:v>
      </x:c>
      <x:c r="D18" s="22" t="str">
        <x:v>Scope, references and verification boundary</x:v>
      </x:c>
      <x:c r="E18" s="1"/>
    </x:row>
    <x:row r="19">
      <x:c r="A19" s="1"/>
      <x:c r="B19" s="28" t="str">
        <x:v>2</x:v>
      </x:c>
      <x:c r="C19" s="30" t="str">
        <x:v>WORK PACKAGES</x:v>
      </x:c>
      <x:c r="D19" s="24" t="str">
        <x:v>Formula-driven progress and variance tracker</x:v>
      </x:c>
      <x:c r="E19" s="1"/>
    </x:row>
    <x:row r="20">
      <x:c r="A20" s="1"/>
      <x:c r="B20" s="27" t="str">
        <x:v>3</x:v>
      </x:c>
      <x:c r="C20" s="29" t="str">
        <x:v>BLOCK STRATEGY</x:v>
      </x:c>
      <x:c r="D20" s="22" t="str">
        <x:v>Block/zone planning principles</x:v>
      </x:c>
      <x:c r="E20" s="1"/>
    </x:row>
    <x:row r="21">
      <x:c r="A21" s="1"/>
      <x:c r="B21" s="28" t="str">
        <x:v>4</x:v>
      </x:c>
      <x:c r="C21" s="30" t="str">
        <x:v>ZONE OUTFITTING</x:v>
      </x:c>
      <x:c r="D21" s="24" t="str">
        <x:v>Outfitting maturity gates</x:v>
      </x:c>
      <x:c r="E21" s="1"/>
    </x:row>
    <x:row r="22">
      <x:c r="A22" s="1"/>
      <x:c r="B22" s="27" t="str">
        <x:v>5</x:v>
      </x:c>
      <x:c r="C22" s="29" t="str">
        <x:v>QUALITY CONTROL</x:v>
      </x:c>
      <x:c r="D22" s="22" t="str">
        <x:v>Production quality checkpoints</x:v>
      </x:c>
      <x:c r="E22" s="1"/>
    </x:row>
    <x:row r="23">
      <x:c r="A23" s="1"/>
      <x:c r="B23" s="28" t="str">
        <x:v>6</x:v>
      </x:c>
      <x:c r="C23" s="30" t="str">
        <x:v>COMPLETION</x:v>
      </x:c>
      <x:c r="D23" s="24" t="str">
        <x:v>System completion and punch control</x:v>
      </x:c>
      <x:c r="E23" s="1"/>
    </x:row>
    <x:row r="24">
      <x:c r="A24" s="1"/>
      <x:c r="B24" s="27" t="str">
        <x:v>7</x:v>
      </x:c>
      <x:c r="C24" s="29" t="str">
        <x:v>PRODUCTION RISKS</x:v>
      </x:c>
      <x:c r="D24" s="22" t="str">
        <x:v>Leading risk register</x:v>
      </x:c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32" t="str">
        <x:v>© 2026 Alper Alacam Naval Architecture . All rights reserved.</x:v>
      </x:c>
      <x:c r="C31" s="32"/>
      <x:c r="D31" s="32"/>
      <x:c r="E31" s="32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3:E3"/>
    <x:mergeCell ref="B4:E4"/>
    <x:mergeCell ref="B5:E5"/>
    <x:mergeCell ref="B6:E6"/>
    <x:mergeCell ref="B8:E8"/>
    <x:mergeCell ref="B10:E10"/>
    <x:mergeCell ref="B16:E16"/>
    <x:mergeCell ref="B31:E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WORK PACKAGES -- EARNED HOURS PROGRESS</x:v>
      </x:c>
      <x:c r="C2" s="35"/>
      <x:c r="D2" s="35"/>
      <x:c r="E2" s="35"/>
    </x:row>
    <x:row r="3" ht="52" customHeight="1">
      <x:c r="A3" s="1"/>
      <x:c r="B3" s="39" t="str">
        <x:v>Earned hours = budget hours × physical progress. Variance compares earned with actual hours.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WORK PACKAGE TRACKER</x:v>
      </x:c>
      <x:c r="C5" s="13"/>
      <x:c r="D5" s="13"/>
      <x:c r="E5" s="13"/>
    </x:row>
    <x:row r="6">
      <x:c r="A6" s="1"/>
      <x:c r="B6" s="42" t="str">
        <x:v>Package</x:v>
      </x:c>
      <x:c r="C6" s="42" t="str">
        <x:v>Discipline</x:v>
      </x:c>
      <x:c r="D6" s="42" t="str">
        <x:v>Budget h</x:v>
      </x:c>
      <x:c r="E6" s="42" t="str">
        <x:v>Physical %</x:v>
      </x:c>
      <x:c r="F6" s="42" t="str">
        <x:v>Earned h</x:v>
      </x:c>
      <x:c r="G6" s="42" t="str">
        <x:v>Actual h</x:v>
      </x:c>
      <x:c r="H6" s="42" t="str">
        <x:v>Efficiency (earned/actual)</x:v>
      </x:c>
    </x:row>
    <x:row r="7">
      <x:c r="A7" s="1"/>
      <x:c r="B7" s="1" t="str">
        <x:v>B101</x:v>
      </x:c>
      <x:c r="C7" s="1" t="str">
        <x:v>Structure</x:v>
      </x:c>
      <x:c r="D7" s="45" t="n">
        <x:v>1200</x:v>
      </x:c>
      <x:c r="E7" s="46" t="n">
        <x:v>0.75</x:v>
      </x:c>
      <x:c r="F7" s="48" t="n">
        <x:f>D7*E7</x:f>
        <x:v>900</x:v>
      </x:c>
      <x:c r="G7" s="44" t="n">
        <x:v>980</x:v>
      </x:c>
      <x:c r="H7" s="49" t="n">
        <x:f>IF(G7=0,0,F7/G7)</x:f>
        <x:v>0.9183673469387755</x:v>
      </x:c>
    </x:row>
    <x:row r="8">
      <x:c r="A8" s="1"/>
      <x:c r="B8" s="1" t="str">
        <x:v>B102</x:v>
      </x:c>
      <x:c r="C8" s="1" t="str">
        <x:v>Outfit</x:v>
      </x:c>
      <x:c r="D8" s="45" t="n">
        <x:v>900</x:v>
      </x:c>
      <x:c r="E8" s="46" t="n">
        <x:v>0.5</x:v>
      </x:c>
      <x:c r="F8" s="48" t="n">
        <x:f>D8*E8</x:f>
        <x:v>450</x:v>
      </x:c>
      <x:c r="G8" s="44" t="n">
        <x:v>520</x:v>
      </x:c>
      <x:c r="H8" s="49" t="n">
        <x:f>IF(G8=0,0,F8/G8)</x:f>
        <x:v>0.8653846153846154</x:v>
      </x:c>
    </x:row>
    <x:row r="9">
      <x:c r="A9" s="1"/>
      <x:c r="B9" s="1" t="str">
        <x:v>Z201</x:v>
      </x:c>
      <x:c r="C9" s="1" t="str">
        <x:v>Piping</x:v>
      </x:c>
      <x:c r="D9" s="45" t="n">
        <x:v>700</x:v>
      </x:c>
      <x:c r="E9" s="46" t="n">
        <x:v>0.4</x:v>
      </x:c>
      <x:c r="F9" s="48" t="n">
        <x:f>D9*E9</x:f>
        <x:v>280</x:v>
      </x:c>
      <x:c r="G9" s="44" t="n">
        <x:v>360</x:v>
      </x:c>
      <x:c r="H9" s="49" t="n">
        <x:f>IF(G9=0,0,F9/G9)</x:f>
        <x:v>0.7777777777777778</x:v>
      </x:c>
    </x:row>
    <x:row r="10">
      <x:c r="A10" s="1"/>
      <x:c r="B10" s="1" t="str">
        <x:v>Z202</x:v>
      </x:c>
      <x:c r="C10" s="1" t="str">
        <x:v>Electrical</x:v>
      </x:c>
      <x:c r="D10" s="45" t="n">
        <x:v>500</x:v>
      </x:c>
      <x:c r="E10" s="46" t="n">
        <x:v>0.3</x:v>
      </x:c>
      <x:c r="F10" s="48" t="n">
        <x:f>D10*E10</x:f>
        <x:v>150</x:v>
      </x:c>
      <x:c r="G10" s="44" t="n">
        <x:v>210</x:v>
      </x:c>
      <x:c r="H10" s="49" t="n">
        <x:f>IF(G10=0,0,F10/G10)</x:f>
        <x:v>0.7142857142857143</x:v>
      </x:c>
    </x:row>
    <x:row r="11">
      <x:c r="A11" s="1"/>
      <x:c r="B11" s="1" t="str">
        <x:v>SYS-A</x:v>
      </x:c>
      <x:c r="C11" s="1" t="str">
        <x:v>Testing</x:v>
      </x:c>
      <x:c r="D11" s="45" t="n">
        <x:v>300</x:v>
      </x:c>
      <x:c r="E11" s="46" t="n">
        <x:v>0.2</x:v>
      </x:c>
      <x:c r="F11" s="48" t="n">
        <x:f>D11*E11</x:f>
        <x:v>60</x:v>
      </x:c>
      <x:c r="G11" s="44" t="n">
        <x:v>85</x:v>
      </x:c>
      <x:c r="H11" s="49" t="n">
        <x:f>IF(G11=0,0,F11/G11)</x:f>
        <x:v>0.7058823529411765</x:v>
      </x:c>
    </x:row>
    <x:row r="12">
      <x:c r="A12" s="1"/>
      <x:c r="B12" s="1"/>
      <x:c r="C12" s="1"/>
      <x:c r="D12" s="1"/>
      <x:c r="E12" s="1"/>
    </x:row>
    <x:row r="13">
      <x:c r="A13" s="1"/>
      <x:c r="B13" s="1"/>
      <x:c r="C13" s="1"/>
      <x:c r="D13" s="1"/>
      <x:c r="E13" s="1"/>
    </x:row>
    <x:row r="14">
      <x:c r="A14" s="1"/>
      <x:c r="B14" s="13" t="str">
        <x:v>TOTALS</x:v>
      </x:c>
      <x:c r="C14" s="13"/>
      <x:c r="D14" s="13"/>
      <x:c r="E14" s="13"/>
    </x:row>
    <x:row r="15">
      <x:c r="A15" s="1"/>
      <x:c r="B15" s="50" t="str">
        <x:v>Budget hours</x:v>
      </x:c>
      <x:c r="C15" s="51" t="n">
        <x:f>SUM(D7:D11)</x:f>
        <x:v>3600</x:v>
      </x:c>
      <x:c r="D15" s="50" t="str">
        <x:v>h</x:v>
      </x:c>
      <x:c r="E15" s="50" t="str"/>
    </x:row>
    <x:row r="16">
      <x:c r="A16" s="1"/>
      <x:c r="B16" s="50" t="str">
        <x:v>Earned hours</x:v>
      </x:c>
      <x:c r="C16" s="51" t="n">
        <x:f>SUM(F7:F11)</x:f>
        <x:v>1840</x:v>
      </x:c>
      <x:c r="D16" s="50" t="str">
        <x:v>h</x:v>
      </x:c>
      <x:c r="E16" s="50" t="str"/>
    </x:row>
    <x:row r="17">
      <x:c r="A17" s="1"/>
      <x:c r="B17" s="50" t="str">
        <x:v>Actual hours</x:v>
      </x:c>
      <x:c r="C17" s="51" t="n">
        <x:f>SUM(G7:G11)</x:f>
        <x:v>2155</x:v>
      </x:c>
      <x:c r="D17" s="50" t="str">
        <x:v>h</x:v>
      </x:c>
      <x:c r="E17" s="50" t="str"/>
    </x:row>
    <x:row r="18">
      <x:c r="A18" s="1"/>
      <x:c r="B18" s="50" t="str">
        <x:v>Overall efficiency</x:v>
      </x:c>
      <x:c r="C18" s="52" t="n">
        <x:f>IF(C17=0,0,C16/C17)</x:f>
        <x:v>0.8538283062645011</x:v>
      </x:c>
      <x:c r="D18" s="50" t="str"/>
      <x:c r="E18" s="50" t="str">
        <x:v>Earned / actual</x:v>
      </x:c>
    </x:row>
    <x:row r="19">
      <x:c r="A19" s="1"/>
      <x:c r="B19" s="1"/>
      <x:c r="C19" s="1"/>
      <x:c r="D19" s="1"/>
      <x:c r="E19" s="1"/>
    </x:row>
    <x:row r="20" ht="42" customHeight="1">
      <x:c r="A20" s="1"/>
      <x:c r="B20" s="54" t="str">
        <x:v>Sources and limits: Project-control arithmetic. Physical-progress rules and budgets must be approved project inputs.</x:v>
      </x:c>
      <x:c r="C20" s="54"/>
      <x:c r="D20" s="54"/>
      <x:c r="E20" s="54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  <x:mergeCell ref="B20:E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BLOCK STRATEGY -- DESIGN FOR PRODUCTION</x:v>
      </x:c>
      <x:c r="C2" s="35"/>
      <x:c r="D2" s="35"/>
      <x:c r="E2" s="35"/>
    </x:row>
    <x:row r="3" ht="52" customHeight="1">
      <x:c r="A3" s="1"/>
      <x:c r="B3" s="39" t="str">
        <x:v>The preferred breakdown minimizes difficult joins, uncontrolled distortion, rework and late access conflicts.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2" t="str">
        <x:v>Decision</x:v>
      </x:c>
      <x:c r="C6" s="42" t="str">
        <x:v>Key inputs</x:v>
      </x:c>
      <x:c r="D6" s="42" t="str">
        <x:v>Production objective</x:v>
      </x:c>
      <x:c r="E6" s="42" t="str">
        <x:v>Evidence</x:v>
      </x:c>
    </x:row>
    <x:row r="7">
      <x:c r="A7" s="1"/>
      <x:c r="B7" s="57" t="str">
        <x:v>Block boundaries</x:v>
      </x:c>
      <x:c r="C7" s="56" t="str">
        <x:v>Crane capacity, berth, geometry, systems</x:v>
      </x:c>
      <x:c r="D7" s="56" t="str">
        <x:v>Large stable blocks with accessible joins</x:v>
      </x:c>
      <x:c r="E7" s="56" t="str">
        <x:v>Block plan and lift study</x:v>
      </x:c>
    </x:row>
    <x:row r="8">
      <x:c r="A8" s="1"/>
      <x:c r="B8" s="58" t="str">
        <x:v>Build orientation</x:v>
      </x:c>
      <x:c r="C8" s="22" t="str">
        <x:v>Welding position, outfitting access, coating</x:v>
      </x:c>
      <x:c r="D8" s="22" t="str">
        <x:v>Maximize downhand work and safe access</x:v>
      </x:c>
      <x:c r="E8" s="22" t="str">
        <x:v>Erection method</x:v>
      </x:c>
    </x:row>
    <x:row r="9">
      <x:c r="A9" s="1"/>
      <x:c r="B9" s="57" t="str">
        <x:v>Grand-blocking</x:v>
      </x:c>
      <x:c r="C9" s="56" t="str">
        <x:v>Transport and crane envelope</x:v>
      </x:c>
      <x:c r="D9" s="56" t="str">
        <x:v>Reduce berth duration</x:v>
      </x:c>
      <x:c r="E9" s="56" t="str">
        <x:v>Lift/transport analysis</x:v>
      </x:c>
    </x:row>
    <x:row r="10">
      <x:c r="A10" s="1"/>
      <x:c r="B10" s="58" t="str">
        <x:v>Datum strategy</x:v>
      </x:c>
      <x:c r="C10" s="22" t="str">
        <x:v>Baseline, control points, survey network</x:v>
      </x:c>
      <x:c r="D10" s="22" t="str">
        <x:v>Control accumulated dimensional error</x:v>
      </x:c>
      <x:c r="E10" s="22" t="str">
        <x:v>Dimensional plan</x:v>
      </x:c>
    </x:row>
    <x:row r="11">
      <x:c r="A11" s="1"/>
      <x:c r="B11" s="57" t="str">
        <x:v>Temporary structure</x:v>
      </x:c>
      <x:c r="C11" s="56" t="str">
        <x:v>Lugs, strongbacks, bracing</x:v>
      </x:c>
      <x:c r="D11" s="56" t="str">
        <x:v>Safe lifting and distortion control</x:v>
      </x:c>
      <x:c r="E11" s="56" t="str">
        <x:v>Approved temporary works</x:v>
      </x:c>
    </x:row>
    <x:row r="12">
      <x:c r="A12" s="1"/>
      <x:c r="B12" s="58" t="str">
        <x:v>Erection sequence</x:v>
      </x:c>
      <x:c r="C12" s="22" t="str">
        <x:v>Hull strength, access, systems, weather</x:v>
      </x:c>
      <x:c r="D12" s="22" t="str">
        <x:v>Stable structure and logical completion</x:v>
      </x:c>
      <x:c r="E12" s="22" t="str">
        <x:v>Integrated master schedule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54" t="str">
        <x:v>Sources and limits: IACS Rec.47 plus yard-specific engineering and lifting procedures.</x:v>
      </x:c>
      <x:c r="C14" s="54"/>
      <x:c r="D14" s="54"/>
      <x:c r="E14" s="54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ZONE OUTFITTING -- MATURITY GATES</x:v>
      </x:c>
      <x:c r="C2" s="35"/>
      <x:c r="D2" s="35"/>
      <x:c r="E2" s="35"/>
    </x:row>
    <x:row r="3" ht="52" customHeight="1">
      <x:c r="A3" s="1"/>
      <x:c r="B3" s="39" t="str">
        <x:v>Move work earlier only when design, material, preservation and access are ready.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2" t="str">
        <x:v>Gate</x:v>
      </x:c>
      <x:c r="C6" s="42" t="str">
        <x:v>Required condition</x:v>
      </x:c>
      <x:c r="D6" s="42" t="str">
        <x:v>Typical evidence</x:v>
      </x:c>
      <x:c r="E6" s="42" t="str">
        <x:v>Stop condition</x:v>
      </x:c>
    </x:row>
    <x:row r="7">
      <x:c r="A7" s="1"/>
      <x:c r="B7" s="57" t="str">
        <x:v>Design released</x:v>
      </x:c>
      <x:c r="C7" s="56" t="str">
        <x:v>Approved coordinated model/drawings</x:v>
      </x:c>
      <x:c r="D7" s="56" t="str">
        <x:v>IFC package and change status</x:v>
      </x:c>
      <x:c r="E7" s="56" t="str">
        <x:v>Open design clashes</x:v>
      </x:c>
    </x:row>
    <x:row r="8">
      <x:c r="A8" s="1"/>
      <x:c r="B8" s="58" t="str">
        <x:v>Material available</x:v>
      </x:c>
      <x:c r="C8" s="22" t="str">
        <x:v>Correct items, certificates and preservation</x:v>
      </x:c>
      <x:c r="D8" s="22" t="str">
        <x:v>Kitting list / traceability</x:v>
      </x:c>
      <x:c r="E8" s="22" t="str">
        <x:v>Shortage or wrong revision</x:v>
      </x:c>
    </x:row>
    <x:row r="9">
      <x:c r="A9" s="1"/>
      <x:c r="B9" s="57" t="str">
        <x:v>Pre-outfit ready</x:v>
      </x:c>
      <x:c r="C9" s="56" t="str">
        <x:v>Foundations, penetrations and supports defined</x:v>
      </x:c>
      <x:c r="D9" s="56" t="str">
        <x:v>Zone work package</x:v>
      </x:c>
      <x:c r="E9" s="56" t="str">
        <x:v>Hot work conflicts</x:v>
      </x:c>
    </x:row>
    <x:row r="10">
      <x:c r="A10" s="1"/>
      <x:c r="B10" s="58" t="str">
        <x:v>Block closure ready</x:v>
      </x:c>
      <x:c r="C10" s="22" t="str">
        <x:v>Inspection and hidden work accepted</x:v>
      </x:c>
      <x:c r="D10" s="22" t="str">
        <x:v>Inspection release</x:v>
      </x:c>
      <x:c r="E10" s="22" t="str">
        <x:v>Unclosed NCR</x:v>
      </x:c>
    </x:row>
    <x:row r="11">
      <x:c r="A11" s="1"/>
      <x:c r="B11" s="57" t="str">
        <x:v>Testing ready</x:v>
      </x:c>
      <x:c r="C11" s="56" t="str">
        <x:v>System boundaries and temporary services defined</x:v>
      </x:c>
      <x:c r="D11" s="56" t="str">
        <x:v>Test pack</x:v>
      </x:c>
      <x:c r="E11" s="56" t="str">
        <x:v>Incomplete isolation</x:v>
      </x:c>
    </x:row>
    <x:row r="12">
      <x:c r="A12" s="1"/>
      <x:c r="B12" s="58" t="str">
        <x:v>Handover ready</x:v>
      </x:c>
      <x:c r="C12" s="22" t="str">
        <x:v>Punch list at agreed category</x:v>
      </x:c>
      <x:c r="D12" s="22" t="str">
        <x:v>Completion certificate</x:v>
      </x:c>
      <x:c r="E12" s="22" t="str">
        <x:v>Safety-critical open item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54" t="str">
        <x:v>Sources and limits: Project completion system, class survey plan and yard procedures.</x:v>
      </x:c>
      <x:c r="C14" s="54"/>
      <x:c r="D14" s="54"/>
      <x:c r="E14" s="54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QUALITY CONTROL -- BUILD IT RIGHT FIRST TIME</x:v>
      </x:c>
      <x:c r="C2" s="35"/>
      <x:c r="D2" s="35"/>
      <x:c r="E2" s="35"/>
    </x:row>
    <x:row r="3" ht="52" customHeight="1">
      <x:c r="A3" s="1"/>
      <x:c r="B3" s="39" t="str">
        <x:v>Acceptance values must come from the applicable approved standard; this volume does not invent tolerances.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2" t="str">
        <x:v>Control point</x:v>
      </x:c>
      <x:c r="C6" s="42" t="str">
        <x:v>Method</x:v>
      </x:c>
      <x:c r="D6" s="42" t="str">
        <x:v>Governing acceptance</x:v>
      </x:c>
      <x:c r="E6" s="42" t="str">
        <x:v>Record</x:v>
      </x:c>
    </x:row>
    <x:row r="7">
      <x:c r="A7" s="1"/>
      <x:c r="B7" s="57" t="str">
        <x:v>Material identity</x:v>
      </x:c>
      <x:c r="C7" s="56" t="str">
        <x:v>Certificate and marking traceability</x:v>
      </x:c>
      <x:c r="D7" s="56" t="str">
        <x:v>Class-approved material specification</x:v>
      </x:c>
      <x:c r="E7" s="56" t="str">
        <x:v>Material register</x:v>
      </x:c>
    </x:row>
    <x:row r="8">
      <x:c r="A8" s="1"/>
      <x:c r="B8" s="58" t="str">
        <x:v>Fit-up</x:v>
      </x:c>
      <x:c r="C8" s="22" t="str">
        <x:v>Gap, alignment, edge preparation</x:v>
      </x:c>
      <x:c r="D8" s="22" t="str">
        <x:v>Approved WPS / IACS Rec.47 where adopted</x:v>
      </x:c>
      <x:c r="E8" s="22" t="str">
        <x:v>Fit-up inspection</x:v>
      </x:c>
    </x:row>
    <x:row r="9">
      <x:c r="A9" s="1"/>
      <x:c r="B9" s="57" t="str">
        <x:v>Welding</x:v>
      </x:c>
      <x:c r="C9" s="56" t="str">
        <x:v>Parameters, consumables, environment</x:v>
      </x:c>
      <x:c r="D9" s="56" t="str">
        <x:v>Approved WPS and welder qualification</x:v>
      </x:c>
      <x:c r="E9" s="56" t="str">
        <x:v>Weld log</x:v>
      </x:c>
    </x:row>
    <x:row r="10">
      <x:c r="A10" s="1"/>
      <x:c r="B10" s="58" t="str">
        <x:v>NDT</x:v>
      </x:c>
      <x:c r="C10" s="22" t="str">
        <x:v>VT/MT/PT/UT/RT as specified</x:v>
      </x:c>
      <x:c r="D10" s="22" t="str">
        <x:v>Approved NDT plan and acceptance criteria</x:v>
      </x:c>
      <x:c r="E10" s="22" t="str">
        <x:v>NDT report</x:v>
      </x:c>
    </x:row>
    <x:row r="11">
      <x:c r="A11" s="1"/>
      <x:c r="B11" s="57" t="str">
        <x:v>Dimensions</x:v>
      </x:c>
      <x:c r="C11" s="56" t="str">
        <x:v>Survey datums and key geometry</x:v>
      </x:c>
      <x:c r="D11" s="56" t="str">
        <x:v>Approved dimensional standard</x:v>
      </x:c>
      <x:c r="E11" s="56" t="str">
        <x:v>Survey report</x:v>
      </x:c>
    </x:row>
    <x:row r="12">
      <x:c r="A12" s="1"/>
      <x:c r="B12" s="58" t="str">
        <x:v>Coating</x:v>
      </x:c>
      <x:c r="C12" s="22" t="str">
        <x:v>Preparation, climate, DFT, holidays</x:v>
      </x:c>
      <x:c r="D12" s="22" t="str">
        <x:v>Approved coating specification</x:v>
      </x:c>
      <x:c r="E12" s="22" t="str">
        <x:v>Coating report</x:v>
      </x:c>
    </x:row>
    <x:row r="13">
      <x:c r="A13" s="1"/>
      <x:c r="B13" s="57" t="str">
        <x:v>Pressure / function test</x:v>
      </x:c>
      <x:c r="C13" s="56" t="str">
        <x:v>Boundary, medium, pressure and safety</x:v>
      </x:c>
      <x:c r="D13" s="56" t="str">
        <x:v>Approved test procedure</x:v>
      </x:c>
      <x:c r="E13" s="56" t="str">
        <x:v>Signed test pack</x:v>
      </x:c>
    </x:row>
    <x:row r="14">
      <x:c r="A14" s="1"/>
      <x:c r="B14" s="1"/>
      <x:c r="C14" s="1"/>
      <x:c r="D14" s="1"/>
      <x:c r="E14" s="1"/>
    </x:row>
    <x:row r="15" ht="42" customHeight="1">
      <x:c r="A15" s="1"/>
      <x:c r="B15" s="54" t="str">
        <x:v>Sources and limits: IACS Rec.47 Rev.10 Corr.1; class rules; approved project specifications.</x:v>
      </x:c>
      <x:c r="C15" s="54"/>
      <x:c r="D15" s="54"/>
      <x:c r="E15" s="54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5:E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COMPLETION -- PUNCH AND TEST STATUS</x:v>
      </x:c>
      <x:c r="C2" s="35"/>
      <x:c r="D2" s="35"/>
      <x:c r="E2" s="35"/>
    </x:row>
    <x:row r="3" ht="52" customHeight="1">
      <x:c r="A3" s="1"/>
      <x:c r="B3" s="39" t="str">
        <x:v>Completion should be system-based, with safety-critical items controlled separately.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INPUTS</x:v>
      </x:c>
      <x:c r="C5" s="13"/>
      <x:c r="D5" s="13"/>
      <x:c r="E5" s="13"/>
    </x:row>
    <x:row r="6">
      <x:c r="A6" s="1"/>
      <x:c r="B6" s="42" t="str">
        <x:v>Parameter</x:v>
      </x:c>
      <x:c r="C6" s="42" t="str">
        <x:v>Value</x:v>
      </x:c>
      <x:c r="D6" s="42" t="str">
        <x:v>Unit</x:v>
      </x:c>
      <x:c r="E6" s="42" t="str">
        <x:v>Explanation / source</x:v>
      </x:c>
    </x:row>
    <x:row r="7" ht="34" customHeight="1">
      <x:c r="A7" s="1"/>
      <x:c r="B7" s="59" t="str">
        <x:v>Total systems</x:v>
      </x:c>
      <x:c r="C7" s="61" t="n">
        <x:v>40</x:v>
      </x:c>
      <x:c r="D7" s="63" t="str">
        <x:v>count</x:v>
      </x:c>
      <x:c r="E7" s="38" t="str">
        <x:v>Defined handover systems.</x:v>
      </x:c>
    </x:row>
    <x:row r="8" ht="34" customHeight="1">
      <x:c r="A8" s="1"/>
      <x:c r="B8" s="59" t="str">
        <x:v>Mechanically complete</x:v>
      </x:c>
      <x:c r="C8" s="61" t="n">
        <x:v>26</x:v>
      </x:c>
      <x:c r="D8" s="63" t="str">
        <x:v>count</x:v>
      </x:c>
      <x:c r="E8" s="38" t="str">
        <x:v>Signed mechanical-completion certificates.</x:v>
      </x:c>
    </x:row>
    <x:row r="9" ht="34" customHeight="1">
      <x:c r="A9" s="1"/>
      <x:c r="B9" s="59" t="str">
        <x:v>Test packs total</x:v>
      </x:c>
      <x:c r="C9" s="61" t="n">
        <x:v>120</x:v>
      </x:c>
      <x:c r="D9" s="63" t="str">
        <x:v>count</x:v>
      </x:c>
      <x:c r="E9" s="38" t="str">
        <x:v>Approved test boundaries.</x:v>
      </x:c>
    </x:row>
    <x:row r="10" ht="34" customHeight="1">
      <x:c r="A10" s="1"/>
      <x:c r="B10" s="59" t="str">
        <x:v>Test packs accepted</x:v>
      </x:c>
      <x:c r="C10" s="61" t="n">
        <x:v>72</x:v>
      </x:c>
      <x:c r="D10" s="63" t="str">
        <x:v>count</x:v>
      </x:c>
      <x:c r="E10" s="38" t="str">
        <x:v>Accepted and closed.</x:v>
      </x:c>
    </x:row>
    <x:row r="11" ht="34" customHeight="1">
      <x:c r="A11" s="1"/>
      <x:c r="B11" s="59" t="str">
        <x:v>Category A punches</x:v>
      </x:c>
      <x:c r="C11" s="61" t="n">
        <x:v>8</x:v>
      </x:c>
      <x:c r="D11" s="63" t="str">
        <x:v>count</x:v>
      </x:c>
      <x:c r="E11" s="38" t="str">
        <x:v>Project-defined safety/function-critical category.</x:v>
      </x:c>
    </x:row>
    <x:row r="12" ht="34" customHeight="1">
      <x:c r="A12" s="1"/>
      <x:c r="B12" s="59" t="str">
        <x:v>Other open punches</x:v>
      </x:c>
      <x:c r="C12" s="61" t="n">
        <x:v>140</x:v>
      </x:c>
      <x:c r="D12" s="63" t="str">
        <x:v>count</x:v>
      </x:c>
      <x:c r="E12" s="38" t="str">
        <x:v>Remaining agreed categories.</x:v>
      </x:c>
    </x:row>
    <x:row r="13">
      <x:c r="A13" s="1"/>
      <x:c r="B13" s="1"/>
      <x:c r="C13" s="1"/>
      <x:c r="D13" s="1"/>
      <x:c r="E13" s="1"/>
    </x:row>
    <x:row r="14">
      <x:c r="A14" s="1"/>
      <x:c r="B14" s="13" t="str">
        <x:v>STATUS</x:v>
      </x:c>
      <x:c r="C14" s="13"/>
      <x:c r="D14" s="13"/>
      <x:c r="E14" s="13"/>
    </x:row>
    <x:row r="15">
      <x:c r="A15" s="1"/>
      <x:c r="B15" s="42" t="str">
        <x:v>KPI</x:v>
      </x:c>
      <x:c r="C15" s="42" t="str">
        <x:v>Value</x:v>
      </x:c>
      <x:c r="D15" s="42" t="str">
        <x:v>Unit</x:v>
      </x:c>
      <x:c r="E15" s="42" t="str">
        <x:v>Interpretation</x:v>
      </x:c>
    </x:row>
    <x:row r="16" ht="32" customHeight="1">
      <x:c r="A16" s="1"/>
      <x:c r="B16" s="65" t="str">
        <x:v>Mechanical completion</x:v>
      </x:c>
      <x:c r="C16" s="70" t="n">
        <x:f>C8/C7</x:f>
        <x:v>0.65</x:v>
      </x:c>
      <x:c r="D16" s="69" t="str">
        <x:v>fraction</x:v>
      </x:c>
      <x:c r="E16" s="64" t="str">
        <x:v>Signed systems / total systems.</x:v>
      </x:c>
    </x:row>
    <x:row r="17" ht="32" customHeight="1">
      <x:c r="A17" s="1"/>
      <x:c r="B17" s="65" t="str">
        <x:v>Test completion</x:v>
      </x:c>
      <x:c r="C17" s="70" t="n">
        <x:f>C10/C9</x:f>
        <x:v>0.6</x:v>
      </x:c>
      <x:c r="D17" s="69" t="str">
        <x:v>fraction</x:v>
      </x:c>
      <x:c r="E17" s="64" t="str">
        <x:v>Accepted test packs / total.</x:v>
      </x:c>
    </x:row>
    <x:row r="18" ht="32" customHeight="1">
      <x:c r="A18" s="1"/>
      <x:c r="B18" s="65" t="str">
        <x:v>A-punch status</x:v>
      </x:c>
      <x:c r="C18" s="67" t="str">
        <x:f>IF(C11=0,"CLEAR","BLOCKED")</x:f>
        <x:v>BLOCKED</x:v>
      </x:c>
      <x:c r="D18" s="69" t="str"/>
      <x:c r="E18" s="64" t="str">
        <x:v>Definition must follow contract completion procedure.</x:v>
      </x:c>
    </x:row>
    <x:row r="19" ht="32" customHeight="1">
      <x:c r="A19" s="1"/>
      <x:c r="B19" s="65" t="str">
        <x:v>Readiness screen</x:v>
      </x:c>
      <x:c r="C19" s="67" t="str">
        <x:f>IF(AND(C16=1,C17=1,C11=0),"READY FOR DEFINED GATE","NOT READY")</x:f>
        <x:v>NOT READY</x:v>
      </x:c>
      <x:c r="D19" s="69" t="str"/>
      <x:c r="E19" s="64" t="str">
        <x:v>Does not override formal handover authority.</x:v>
      </x:c>
    </x:row>
    <x:row r="20">
      <x:c r="A20" s="1"/>
      <x:c r="B20" s="1"/>
      <x:c r="C20" s="1"/>
      <x:c r="D20" s="1"/>
      <x:c r="E20" s="1"/>
    </x:row>
    <x:row r="21" ht="42" customHeight="1">
      <x:c r="A21" s="1"/>
      <x:c r="B21" s="54" t="str">
        <x:v>Sources and limits: Project completion procedure and signed evidence govern.</x:v>
      </x:c>
      <x:c r="C21" s="54"/>
      <x:c r="D21" s="54"/>
      <x:c r="E21" s="54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  <x:mergeCell ref="B21:E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PRODUCTION RISKS -- LEADING INDICATORS</x:v>
      </x:c>
      <x:c r="C2" s="35"/>
      <x:c r="D2" s="35"/>
      <x:c r="E2" s="35"/>
    </x:row>
    <x:row r="3" ht="52" customHeight="1">
      <x:c r="A3" s="1"/>
      <x:c r="B3" s="39" t="str">
        <x:v>Track causes before they become schedule variance.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2" t="str">
        <x:v>Risk</x:v>
      </x:c>
      <x:c r="C6" s="42" t="str">
        <x:v>Leading indicator</x:v>
      </x:c>
      <x:c r="D6" s="42" t="str">
        <x:v>Mitigation</x:v>
      </x:c>
      <x:c r="E6" s="42" t="str">
        <x:v>Owner input</x:v>
      </x:c>
    </x:row>
    <x:row r="7">
      <x:c r="A7" s="1"/>
      <x:c r="B7" s="57" t="str">
        <x:v>Late design</x:v>
      </x:c>
      <x:c r="C7" s="56" t="str">
        <x:v>IFC release vs need date</x:v>
      </x:c>
      <x:c r="D7" s="56" t="str">
        <x:v>Freeze sequence / early clash resolution</x:v>
      </x:c>
      <x:c r="E7" s="56" t="str">
        <x:v>Assign</x:v>
      </x:c>
    </x:row>
    <x:row r="8">
      <x:c r="A8" s="1"/>
      <x:c r="B8" s="58" t="str">
        <x:v>Material shortage</x:v>
      </x:c>
      <x:c r="C8" s="22" t="str">
        <x:v>Kit completeness</x:v>
      </x:c>
      <x:c r="D8" s="22" t="str">
        <x:v>Shortage escalation / alternates approval</x:v>
      </x:c>
      <x:c r="E8" s="22" t="str">
        <x:v>Assign</x:v>
      </x:c>
    </x:row>
    <x:row r="9">
      <x:c r="A9" s="1"/>
      <x:c r="B9" s="57" t="str">
        <x:v>Rework</x:v>
      </x:c>
      <x:c r="C9" s="56" t="str">
        <x:v>NCR and weld repair trend</x:v>
      </x:c>
      <x:c r="D9" s="56" t="str">
        <x:v>Root-cause and first-piece control</x:v>
      </x:c>
      <x:c r="E9" s="56" t="str">
        <x:v>Assign</x:v>
      </x:c>
    </x:row>
    <x:row r="10">
      <x:c r="A10" s="1"/>
      <x:c r="B10" s="58" t="str">
        <x:v>Access congestion</x:v>
      </x:c>
      <x:c r="C10" s="22" t="str">
        <x:v>Trade stacking / hot work conflicts</x:v>
      </x:c>
      <x:c r="D10" s="22" t="str">
        <x:v>4D zone planning</x:v>
      </x:c>
      <x:c r="E10" s="22" t="str">
        <x:v>Assign</x:v>
      </x:c>
    </x:row>
    <x:row r="11">
      <x:c r="A11" s="1"/>
      <x:c r="B11" s="57" t="str">
        <x:v>Testing backlog</x:v>
      </x:c>
      <x:c r="C11" s="56" t="str">
        <x:v>Open test packs and temporary services</x:v>
      </x:c>
      <x:c r="D11" s="56" t="str">
        <x:v>System-based completion plan</x:v>
      </x:c>
      <x:c r="E11" s="56" t="str">
        <x:v>Assign</x:v>
      </x:c>
    </x:row>
    <x:row r="12">
      <x:c r="A12" s="1"/>
      <x:c r="B12" s="58" t="str">
        <x:v>Change growth</x:v>
      </x:c>
      <x:c r="C12" s="22" t="str">
        <x:v>Late modifications and revision churn</x:v>
      </x:c>
      <x:c r="D12" s="22" t="str">
        <x:v>Change control / impact review</x:v>
      </x:c>
      <x:c r="E12" s="22" t="str">
        <x:v>Assign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54" t="str">
        <x:v>Sources and limits: Project controls and yard quality records; no universal benchmark assumed.</x:v>
      </x:c>
      <x:c r="C14" s="54"/>
      <x:c r="D14" s="54"/>
      <x:c r="E14" s="54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REFERENCE TABLES -- AUTHORITATIVE SOURCES</x:v>
      </x:c>
      <x:c r="C2" s="35"/>
      <x:c r="D2" s="35"/>
      <x:c r="E2" s="35"/>
    </x:row>
    <x:row r="3" ht="52" customHeight="1">
      <x:c r="A3" s="1"/>
      <x:c r="B3" s="39" t="str">
        <x:v>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SOURCE REGISTER</x:v>
      </x:c>
      <x:c r="C5" s="13"/>
      <x:c r="D5" s="13"/>
      <x:c r="E5" s="13"/>
    </x:row>
    <x:row r="6">
      <x:c r="A6" s="1"/>
      <x:c r="B6" s="42" t="str">
        <x:v>Instrument / source</x:v>
      </x:c>
      <x:c r="C6" s="42" t="str">
        <x:v>Issuer</x:v>
      </x:c>
      <x:c r="D6" s="42" t="str">
        <x:v>Use in this volume</x:v>
      </x:c>
      <x:c r="E6" s="42" t="str">
        <x:v>Official URL</x:v>
      </x:c>
    </x:row>
    <x:row r="7">
      <x:c r="A7" s="1"/>
      <x:c r="B7" s="57" t="str">
        <x:v>Recommendation 47 Rev.10 Corr.1 (Oct 2025)</x:v>
      </x:c>
      <x:c r="C7" s="56" t="str">
        <x:v>IACS</x:v>
      </x:c>
      <x:c r="D7" s="56" t="str">
        <x:v>Shipbuilding and repair quality standard</x:v>
      </x:c>
      <x:c r="E7" s="71" t="str">
        <x:v>https://iacs.org.uk/resolutions/recommendations/41-60/rec-47-rev10-cln</x:v>
      </x:c>
    </x:row>
    <x:row r="8">
      <x:c r="A8" s="1"/>
      <x:c r="B8" s="58" t="str">
        <x:v>SOLAS 1974, as amended</x:v>
      </x:c>
      <x:c r="C8" s="22" t="str">
        <x:v>IMO</x:v>
      </x:c>
      <x:c r="D8" s="22" t="str">
        <x:v>Construction, equipment and safety framework</x:v>
      </x:c>
      <x:c r="E8" s="71" t="str">
        <x:v>https://www.imo.org/en/about/conventions/pages/international-convention-for-the-safety-of-life-at-sea-(solas),-1974.aspx</x:v>
      </x:c>
    </x:row>
    <x:row r="9">
      <x:c r="A9" s="1"/>
      <x:c r="B9" s="1"/>
      <x:c r="C9" s="1"/>
      <x:c r="D9" s="1"/>
      <x:c r="E9" s="1"/>
    </x:row>
    <x:row r="10" ht="42" customHeight="1">
      <x:c r="A10" s="1"/>
      <x:c r="B10" s="54" t="str">
        <x:v>Sources and limits: URLs are recorded in plain text for audit. Always confirm amendments, flag circulars and the selected class rules at project start.</x:v>
      </x:c>
      <x:c r="C10" s="54"/>
      <x:c r="D10" s="54"/>
      <x:c r="E10" s="54"/>
    </x:row>
    <x:row r="11">
      <x:c r="A11" s="1"/>
      <x:c r="B11" s="1"/>
      <x:c r="C11" s="1"/>
      <x:c r="D11" s="1"/>
      <x:c r="E11" s="1"/>
    </x:row>
    <x:row r="12">
      <x:c r="A12" s="1"/>
      <x:c r="B12" s="1"/>
      <x:c r="C12" s="1"/>
      <x:c r="D12" s="1"/>
      <x:c r="E12" s="1"/>
    </x:row>
    <x:row r="13">
      <x:c r="A13" s="1"/>
      <x:c r="B13" s="1"/>
      <x:c r="C13" s="1"/>
      <x:c r="D13" s="1"/>
      <x:c r="E13" s="1"/>
    </x:row>
    <x:row r="14">
      <x:c r="A14" s="1"/>
      <x:c r="B14" s="1"/>
      <x:c r="C14" s="1"/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0:E10"/>
  </x:mergeCells>
  <x:pageMargins left="0.7" right="0.7" top="0.75" bottom="0.75" header="0.3" footer="0.3"/>
</x:worksheet>
</file>