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35feae00b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72ae6e26a924baf"/>
    <x:sheet xmlns:r="http://schemas.openxmlformats.org/officeDocument/2006/relationships" name="GZ CURVE" sheetId="2" r:id="R7660e986af974b49"/>
    <x:sheet xmlns:r="http://schemas.openxmlformats.org/officeDocument/2006/relationships" name="IS CRITERIA" sheetId="3" r:id="R53b22a6dbd14482c"/>
    <x:sheet xmlns:r="http://schemas.openxmlformats.org/officeDocument/2006/relationships" name="FREE SURFACE" sheetId="4" r:id="R08d645879261426d"/>
    <x:sheet xmlns:r="http://schemas.openxmlformats.org/officeDocument/2006/relationships" name="LIMITING KG" sheetId="5" r:id="R0baaf3b1a0e84f19"/>
    <x:sheet xmlns:r="http://schemas.openxmlformats.org/officeDocument/2006/relationships" name="DAMAGE INDEX" sheetId="6" r:id="R62b3e3c9c7974721"/>
    <x:sheet xmlns:r="http://schemas.openxmlformats.org/officeDocument/2006/relationships" name="MODEL QA" sheetId="7" r:id="R01b33519623a434b"/>
    <x:sheet xmlns:r="http://schemas.openxmlformats.org/officeDocument/2006/relationships" name="REFERENCE TABLES" sheetId="8" r:id="Rb1740a3c4508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16">
    <x:font>
      <x:sz val="11"/>
      <x:name val="Carlito"/>
    </x:font>
    <x:font>
      <x:sz val="11"/>
      <x:color rgb="FF000000"/>
      <x:name val="Carlito"/>
    </x:font>
    <x:font>
      <x:b/>
      <x:sz val="11"/>
      <x:color rgb="FFC8960C"/>
      <x:name val="Carlito"/>
    </x:font>
    <x:font>
      <x:b/>
      <x:sz val="11"/>
      <x:color rgb="FFFFFFFF"/>
      <x:name val="Carlito"/>
    </x:font>
    <x:font>
      <x:i/>
      <x:sz val="11"/>
      <x:color rgb="FFD6E8F7"/>
      <x:name val="Carlito"/>
    </x:font>
    <x:font>
      <x:sz val="11"/>
      <x:color rgb="FFFFFFFF"/>
      <x:name val="Carlito"/>
    </x:font>
    <x:font>
      <x:b/>
      <x:sz val="11"/>
      <x:color rgb="FF1B3A6B"/>
      <x:name val="Carlito"/>
    </x:font>
    <x:font>
      <x:sz val="11"/>
      <x:color rgb="FF404040"/>
      <x:name val="Carlito"/>
    </x:font>
    <x:font>
      <x:b/>
      <x:sz val="11"/>
      <x:color rgb="FF2E6DA4"/>
      <x:name val="Carlito"/>
    </x:font>
    <x:font>
      <x:i/>
      <x:sz val="11"/>
      <x:color rgb="FFC8960C"/>
      <x:name val="Carlito"/>
    </x:font>
    <x:font>
      <x:i/>
      <x:sz val="11"/>
      <x:color rgb="FF404040"/>
      <x:name val="Carlito"/>
    </x:font>
    <x:font>
      <x:sz val="11"/>
      <x:color rgb="FF0000FF"/>
      <x:name val="Carlito"/>
    </x:font>
    <x:font>
      <x:i/>
      <x:sz val="11"/>
      <x:color rgb="FF777777"/>
      <x:name val="Carlito"/>
    </x:font>
    <x:font>
      <x:b/>
      <x:sz val="11"/>
      <x:color rgb="FF000000"/>
      <x:name val="Carlito"/>
    </x:font>
    <x:font>
      <x:i/>
      <x:sz val="11"/>
      <x:color rgb="FF808080"/>
      <x:name val="Carlito"/>
    </x:font>
    <x:font>
      <x:sz val="11"/>
      <x:color rgb="FF0563C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A1F3D"/>
      </x:patternFill>
    </x:fill>
    <x:fill>
      <x:patternFill patternType="solid">
        <x:fgColor rgb="FF2E6DA4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  <x:fill>
      <x:patternFill patternType="solid">
        <x:fgColor rgb="FFFFFFFF"/>
      </x:patternFill>
    </x:fill>
    <x:fill>
      <x:patternFill patternType="solid">
        <x:fgColor rgb="FFCFE2F3"/>
      </x:patternFill>
    </x:fill>
    <x:fill>
      <x:patternFill patternType="solid">
        <x:fgColor rgb="FF1B3A6B"/>
      </x:patternFill>
    </x:fill>
    <x:fill>
      <x:patternFill patternType="solid">
        <x:fgColor rgb="FFD6E8F7"/>
      </x:patternFill>
    </x:fill>
    <x:fill>
      <x:patternFill patternType="solid">
        <x:fgColor rgb="FFFFF3CD"/>
      </x:patternFill>
    </x:fill>
    <x:fill>
      <x:patternFill patternType="solid">
        <x:fgColor rgb="FFD9EAD3"/>
      </x:patternFill>
    </x:fill>
    <x:fill>
      <x:patternFill patternType="solid">
        <x:fgColor rgb="FFE3F2FD"/>
      </x:patternFill>
    </x:fill>
  </x:fills>
  <x:borders count="2">
    <x:border/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left" wrapText="1"/>
    </x:xf>
    <x:xf numFmtId="0" fontId="1" fillId="4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/>
    <x:xf numFmtId="0" fontId="11" fillId="10" borderId="0" xfId="0" applyNumberFormat="1" applyFont="1" applyFill="1" applyBorder="1"/>
    <x:xf numFmtId="200" fontId="11" fillId="10" borderId="0" xfId="0" applyNumberFormat="1" applyFont="1" applyFill="1" applyBorder="1"/>
    <x:xf numFmtId="200" fontId="11" fillId="10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/>
    <x:xf numFmtId="201" fontId="1" fillId="11" borderId="0" xfId="0" applyNumberFormat="1" applyFont="1" applyFill="1" applyBorder="1"/>
    <x:xf numFmtId="201" fontId="1" fillId="11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3" fillId="4" borderId="0" xfId="0" applyNumberFormat="1" applyFont="1" applyFill="1" applyBorder="1"/>
    <x:xf numFmtId="0" fontId="11" fillId="10" borderId="1" xfId="0" applyNumberFormat="1" applyFont="1" applyFill="1" applyBorder="1"/>
    <x:xf numFmtId="0" fontId="11" fillId="10" borderId="1" xfId="0" applyNumberFormat="1" applyFont="1" applyFill="1" applyBorder="1" applyAlignment="1">
      <x:alignment horizontal="center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horizontal="center" wrapText="1"/>
    </x:xf>
    <x:xf numFmtId="200" fontId="13" fillId="11" borderId="0" xfId="0" applyNumberFormat="1" applyFont="1" applyFill="1" applyBorder="1" applyAlignment="1">
      <x:alignment horizontal="center" wrapText="1"/>
    </x:xf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horizontal="center" wrapText="1"/>
    </x:xf>
    <x:xf numFmtId="200" fontId="1" fillId="11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ab5c3b58cf4e6b" /><Relationship Type="http://schemas.openxmlformats.org/officeDocument/2006/relationships/theme" Target="/xl/theme/theme1.xml" Id="Rd4075f1d7f244332" /><Relationship Type="http://schemas.openxmlformats.org/officeDocument/2006/relationships/sharedStrings" Target="/xl/sharedStrings.xml" Id="R86c23b95ecdc44c4" /><Relationship Type="http://schemas.openxmlformats.org/officeDocument/2006/relationships/worksheet" Target="/xl/worksheets/sheet1.xml" Id="R672ae6e26a924baf" /><Relationship Type="http://schemas.openxmlformats.org/officeDocument/2006/relationships/worksheet" Target="/xl/worksheets/sheet2.xml" Id="R7660e986af974b49" /><Relationship Type="http://schemas.openxmlformats.org/officeDocument/2006/relationships/worksheet" Target="/xl/worksheets/sheet3.xml" Id="R53b22a6dbd14482c" /><Relationship Type="http://schemas.openxmlformats.org/officeDocument/2006/relationships/worksheet" Target="/xl/worksheets/sheet4.xml" Id="R08d645879261426d" /><Relationship Type="http://schemas.openxmlformats.org/officeDocument/2006/relationships/worksheet" Target="/xl/worksheets/sheet5.xml" Id="R0baaf3b1a0e84f19" /><Relationship Type="http://schemas.openxmlformats.org/officeDocument/2006/relationships/worksheet" Target="/xl/worksheets/sheet6.xml" Id="R62b3e3c9c7974721" /><Relationship Type="http://schemas.openxmlformats.org/officeDocument/2006/relationships/worksheet" Target="/xl/worksheets/sheet7.xml" Id="R01b33519623a434b" /><Relationship Type="http://schemas.openxmlformats.org/officeDocument/2006/relationships/worksheet" Target="/xl/worksheets/sheet8.xml" Id="Rb1740a3c45084a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2"/>
      <x:c r="C2" s="2"/>
      <x:c r="D2" s="2"/>
      <x:c r="E2" s="2"/>
    </x:row>
    <x:row r="3">
      <x:c r="A3" s="1"/>
      <x:c r="B3" s="4" t="str">
        <x:v>NAVAL ARCHITECTURE</x:v>
      </x:c>
      <x:c r="C3" s="4"/>
      <x:c r="D3" s="4"/>
      <x:c r="E3" s="4"/>
    </x:row>
    <x:row r="4">
      <x:c r="A4" s="1"/>
      <x:c r="B4" s="6" t="str">
        <x:v>TEACHING TOOLKIT</x:v>
      </x:c>
      <x:c r="C4" s="6"/>
      <x:c r="D4" s="6"/>
      <x:c r="E4" s="6"/>
    </x:row>
    <x:row r="5">
      <x:c r="A5" s="1"/>
      <x:c r="B5" s="4" t="str">
        <x:v>VOLUME 30 :  Intact and Damage Stability in Depth</x:v>
      </x:c>
      <x:c r="C5" s="4"/>
      <x:c r="D5" s="4"/>
      <x:c r="E5" s="4"/>
    </x:row>
    <x:row r="6">
      <x:c r="A6" s="1"/>
      <x:c r="B6" s="8" t="str">
        <x:v>GZ Integration. Free Surface. Limiting KG. Probabilistic Damage.</x:v>
      </x:c>
      <x:c r="C6" s="8"/>
      <x:c r="D6" s="8"/>
      <x:c r="E6" s="8"/>
    </x:row>
    <x:row r="7">
      <x:c r="A7" s="1"/>
      <x:c r="B7" s="2"/>
      <x:c r="C7" s="2"/>
      <x:c r="D7" s="2"/>
      <x:c r="E7" s="2"/>
    </x:row>
    <x:row r="8">
      <x:c r="A8" s="1"/>
      <x:c r="B8" s="10" t="str">
        <x:v>Alper Alacam  |  Naval Architect and Marine Engineer  |  Turkiye  |  2026</x:v>
      </x:c>
      <x:c r="C8" s="10"/>
      <x:c r="D8" s="10"/>
      <x:c r="E8" s="10"/>
    </x:row>
    <x:row r="9">
      <x:c r="A9" s="1"/>
      <x:c r="B9" s="2"/>
      <x:c r="C9" s="2"/>
      <x:c r="D9" s="2"/>
      <x:c r="E9" s="2"/>
    </x:row>
    <x:row r="10">
      <x:c r="A10" s="1"/>
      <x:c r="B10" s="13" t="str">
        <x:v>ABOUT THIS VOLUME</x:v>
      </x:c>
      <x:c r="C10" s="13"/>
      <x:c r="D10" s="13"/>
      <x:c r="E10" s="13"/>
    </x:row>
    <x:row r="11" ht="58" customHeight="1">
      <x:c r="A11" s="1"/>
      <x:c r="B11" s="15" t="str">
        <x:v>Why this topic matters</x:v>
      </x:c>
      <x:c r="C11" s="17" t="str">
        <x:v>Stability compliance depends on the complete loading condition, righting-arm curve, openings, environmental criteria and—where applicable—probabilistic or deterministic damage analysis.</x:v>
      </x:c>
      <x:c r="D11" s="1"/>
      <x:c r="E11" s="1"/>
    </x:row>
    <x:row r="12" ht="58" customHeight="1">
      <x:c r="A12" s="1"/>
      <x:c r="B12" s="15" t="str">
        <x:v>What this volume covers</x:v>
      </x:c>
      <x:c r="C12" s="17" t="str">
        <x:v>GZ-curve integration; selected 2008 IS Code general criteria; free-surface correction; limiting-KG logic; A/R damage index screening; model and evidence QA.</x:v>
      </x:c>
      <x:c r="D12" s="1"/>
      <x:c r="E12" s="1"/>
    </x:row>
    <x:row r="13" ht="58" customHeight="1">
      <x:c r="A13" s="1"/>
      <x:c r="B13" s="15" t="str">
        <x:v>Verification boundary</x:v>
      </x:c>
      <x:c r="C13" s="17" t="str">
        <x:v>The GZ worksheet demonstrates numerical integration and selected general criteria only. Applicability, weather criterion, special criteria and all damage cases require the approved vessel model and current statutory rules.</x:v>
      </x:c>
      <x:c r="D13" s="1"/>
      <x:c r="E13" s="1"/>
    </x:row>
    <x:row r="14" ht="58" customHeight="1">
      <x:c r="A14" s="1"/>
      <x:c r="B14" s="15" t="str">
        <x:v>Primary references</x:v>
      </x:c>
      <x:c r="C14" s="17" t="str">
        <x:v>IMO 2008 IS Code (MSC.267(85)); SOLAS chapter II-1; applicable Administration/class rules.</x:v>
      </x:c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3" t="str">
        <x:v>WORKSHEET INDEX</x:v>
      </x:c>
      <x:c r="C16" s="13"/>
      <x:c r="D16" s="13"/>
      <x:c r="E16" s="13"/>
    </x:row>
    <x:row r="17">
      <x:c r="A17" s="1"/>
      <x:c r="B17" s="20" t="str">
        <x:v>No.</x:v>
      </x:c>
      <x:c r="C17" s="20" t="str">
        <x:v>Sheet</x:v>
      </x:c>
      <x:c r="D17" s="20" t="str">
        <x:v>Contents</x:v>
      </x:c>
      <x:c r="E17" s="1"/>
    </x:row>
    <x:row r="18">
      <x:c r="A18" s="1"/>
      <x:c r="B18" s="27" t="str">
        <x:v>1</x:v>
      </x:c>
      <x:c r="C18" s="29" t="str">
        <x:v>COVER</x:v>
      </x:c>
      <x:c r="D18" s="22" t="str">
        <x:v>Scope, references and verification boundary</x:v>
      </x:c>
      <x:c r="E18" s="1"/>
    </x:row>
    <x:row r="19">
      <x:c r="A19" s="1"/>
      <x:c r="B19" s="28" t="str">
        <x:v>2</x:v>
      </x:c>
      <x:c r="C19" s="30" t="str">
        <x:v>GZ CURVE</x:v>
      </x:c>
      <x:c r="D19" s="24" t="str">
        <x:v>Editable curve and trapezoidal area calculation</x:v>
      </x:c>
      <x:c r="E19" s="1"/>
    </x:row>
    <x:row r="20">
      <x:c r="A20" s="1"/>
      <x:c r="B20" s="27" t="str">
        <x:v>3</x:v>
      </x:c>
      <x:c r="C20" s="29" t="str">
        <x:v>IS CRITERIA</x:v>
      </x:c>
      <x:c r="D20" s="22" t="str">
        <x:v>Selected general criteria check</x:v>
      </x:c>
      <x:c r="E20" s="1"/>
    </x:row>
    <x:row r="21">
      <x:c r="A21" s="1"/>
      <x:c r="B21" s="28" t="str">
        <x:v>4</x:v>
      </x:c>
      <x:c r="C21" s="30" t="str">
        <x:v>FREE SURFACE</x:v>
      </x:c>
      <x:c r="D21" s="24" t="str">
        <x:v>Virtual-rise correction and sensitivity</x:v>
      </x:c>
      <x:c r="E21" s="1"/>
    </x:row>
    <x:row r="22">
      <x:c r="A22" s="1"/>
      <x:c r="B22" s="27" t="str">
        <x:v>5</x:v>
      </x:c>
      <x:c r="C22" s="29" t="str">
        <x:v>LIMITING KG</x:v>
      </x:c>
      <x:c r="D22" s="22" t="str">
        <x:v>GM-based limiting KG screening</x:v>
      </x:c>
      <x:c r="E22" s="1"/>
    </x:row>
    <x:row r="23">
      <x:c r="A23" s="1"/>
      <x:c r="B23" s="28" t="str">
        <x:v>6</x:v>
      </x:c>
      <x:c r="C23" s="30" t="str">
        <x:v>DAMAGE INDEX</x:v>
      </x:c>
      <x:c r="D23" s="24" t="str">
        <x:v>A/R probabilistic screening table</x:v>
      </x:c>
      <x:c r="E23" s="1"/>
    </x:row>
    <x:row r="24">
      <x:c r="A24" s="1"/>
      <x:c r="B24" s="27" t="str">
        <x:v>7</x:v>
      </x:c>
      <x:c r="C24" s="29" t="str">
        <x:v>MODEL QA</x:v>
      </x:c>
      <x:c r="D24" s="22" t="str">
        <x:v>Hydrostatic and damage-model checks</x:v>
      </x:c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32" t="str">
        <x:v>© 2026 Alper Alacam Naval Architecture . All rights reserved.</x:v>
      </x:c>
      <x:c r="C31" s="32"/>
      <x:c r="D31" s="32"/>
      <x:c r="E31" s="32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3:E3"/>
    <x:mergeCell ref="B4:E4"/>
    <x:mergeCell ref="B5:E5"/>
    <x:mergeCell ref="B6:E6"/>
    <x:mergeCell ref="B8:E8"/>
    <x:mergeCell ref="B10:E10"/>
    <x:mergeCell ref="B16:E16"/>
    <x:mergeCell ref="B31:E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GZ CURVE -- NUMERICAL INTEGRATION</x:v>
      </x:c>
      <x:c r="C2" s="35"/>
      <x:c r="D2" s="35"/>
      <x:c r="E2" s="35"/>
    </x:row>
    <x:row r="3" ht="52" customHeight="1">
      <x:c r="A3" s="1"/>
      <x:c r="B3" s="39" t="str">
        <x:v>Enter approved-model GZ ordinates at 5-degree intervals. Areas are trapezoidal and converted from degree to radian.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GZ ORDINATES</x:v>
      </x:c>
      <x:c r="C5" s="13"/>
      <x:c r="D5" s="13"/>
      <x:c r="E5" s="13"/>
    </x:row>
    <x:row r="6">
      <x:c r="A6" s="1"/>
      <x:c r="B6" s="20" t="str">
        <x:v>Heel (deg)</x:v>
      </x:c>
      <x:c r="C6" s="20" t="str">
        <x:v>GZ (m)</x:v>
      </x:c>
      <x:c r="D6" s="20" t="str">
        <x:v>Incremental area (m rad)</x:v>
      </x:c>
      <x:c r="E6" s="20" t="str">
        <x:v>Cumulative area (m rad)</x:v>
      </x:c>
    </x:row>
    <x:row r="7">
      <x:c r="A7" s="1"/>
      <x:c r="B7" s="40" t="n">
        <x:v>0</x:v>
      </x:c>
      <x:c r="C7" s="44" t="n">
        <x:v>0</x:v>
      </x:c>
      <x:c r="D7" s="47" t="n">
        <x:v>0</x:v>
      </x:c>
      <x:c r="E7" s="47" t="n">
        <x:v>0</x:v>
      </x:c>
    </x:row>
    <x:row r="8">
      <x:c r="A8" s="1"/>
      <x:c r="B8" s="40" t="n">
        <x:v>5</x:v>
      </x:c>
      <x:c r="C8" s="44" t="n">
        <x:v>0.08282209443280664</x:v>
      </x:c>
      <x:c r="D8" s="47" t="n">
        <x:f>(B8-B7)*PI()/180*(C8+C7)/2</x:f>
        <x:v>0.003613795603125353</x:v>
      </x:c>
      <x:c r="E8" s="47" t="n">
        <x:f>E7+D8</x:f>
        <x:v>0.003613795603125353</x:v>
      </x:c>
    </x:row>
    <x:row r="9">
      <x:c r="A9" s="1"/>
      <x:c r="B9" s="40" t="n">
        <x:v>10</x:v>
      </x:c>
      <x:c r="C9" s="44" t="n">
        <x:v>0.15999999999999998</x:v>
      </x:c>
      <x:c r="D9" s="47" t="n">
        <x:f>(B9-B8)*PI()/180*(C9+C8)/2</x:f>
        <x:v>0.01059511261110267</x:v>
      </x:c>
      <x:c r="E9" s="47" t="n">
        <x:f>E8+D9</x:f>
        <x:v>0.014208908214228023</x:v>
      </x:c>
    </x:row>
    <x:row r="10">
      <x:c r="A10" s="1"/>
      <x:c r="B10" s="40" t="n">
        <x:v>15</x:v>
      </x:c>
      <x:c r="C10" s="44" t="n">
        <x:v>0.22627416997969518</x:v>
      </x:c>
      <x:c r="D10" s="47" t="n">
        <x:f>(B10-B9)*PI()/180*(C10+C9)/2</x:f>
        <x:v>0.016854390203884795</x:v>
      </x:c>
      <x:c r="E10" s="47" t="n">
        <x:f>E9+D10</x:f>
        <x:v>0.03106329841811282</x:v>
      </x:c>
    </x:row>
    <x:row r="11">
      <x:c r="A11" s="1"/>
      <x:c r="B11" s="40" t="n">
        <x:v>20</x:v>
      </x:c>
      <x:c r="C11" s="44" t="n">
        <x:v>0.27712812921102037</x:v>
      </x:c>
      <x:c r="D11" s="47" t="n">
        <x:f>(B11-B10)*PI()/180*(C11+C10)/2</x:f>
        <x:v>0.02196506895746893</x:v>
      </x:c>
      <x:c r="E11" s="47" t="n">
        <x:f>E10+D11</x:f>
        <x:v>0.05302836737558175</x:v>
      </x:c>
    </x:row>
    <x:row r="12">
      <x:c r="A12" s="1"/>
      <x:c r="B12" s="40" t="n">
        <x:v>25</x:v>
      </x:c>
      <x:c r="C12" s="44" t="n">
        <x:v>0.3090962644125019</x:v>
      </x:c>
      <x:c r="D12" s="47" t="n">
        <x:f>(B12-B11)*PI()/180*(C12+C11)/2</x:f>
        <x:v>0.02557886456059429</x:v>
      </x:c>
      <x:c r="E12" s="47" t="n">
        <x:f>E11+D12</x:f>
        <x:v>0.07860723193617604</x:v>
      </x:c>
    </x:row>
    <x:row r="13">
      <x:c r="A13" s="1"/>
      <x:c r="B13" s="40" t="n">
        <x:v>30</x:v>
      </x:c>
      <x:c r="C13" s="44" t="n">
        <x:v>0.32</x:v>
      </x:c>
      <x:c r="D13" s="47" t="n">
        <x:f>(B13-B12)*PI()/180*(C13+C12)/2</x:f>
        <x:v>0.02744950281498747</x:v>
      </x:c>
      <x:c r="E13" s="47" t="n">
        <x:f>E12+D13</x:f>
        <x:v>0.1060567347511635</x:v>
      </x:c>
    </x:row>
    <x:row r="14">
      <x:c r="A14" s="1"/>
      <x:c r="B14" s="40" t="n">
        <x:v>35</x:v>
      </x:c>
      <x:c r="C14" s="44" t="n">
        <x:v>0.3090962644125019</x:v>
      </x:c>
      <x:c r="D14" s="47" t="n">
        <x:f>(B14-B13)*PI()/180*(C14+C13)/2</x:f>
        <x:v>0.02744950281498747</x:v>
      </x:c>
      <x:c r="E14" s="47" t="n">
        <x:f>E13+D14</x:f>
        <x:v>0.133506237566151</x:v>
      </x:c>
    </x:row>
    <x:row r="15">
      <x:c r="A15" s="1"/>
      <x:c r="B15" s="40" t="n">
        <x:v>40</x:v>
      </x:c>
      <x:c r="C15" s="44" t="n">
        <x:v>0.27712812921102037</x:v>
      </x:c>
      <x:c r="D15" s="47" t="n">
        <x:f>(B15-B14)*PI()/180*(C15+C14)/2</x:f>
        <x:v>0.02557886456059429</x:v>
      </x:c>
      <x:c r="E15" s="47" t="n">
        <x:f>E14+D15</x:f>
        <x:v>0.1590851021267453</x:v>
      </x:c>
    </x:row>
    <x:row r="16">
      <x:c r="A16" s="1"/>
      <x:c r="B16" s="40" t="n">
        <x:v>45</x:v>
      </x:c>
      <x:c r="C16" s="44" t="n">
        <x:v>0.22627416997969524</x:v>
      </x:c>
      <x:c r="D16" s="47" t="n">
        <x:f>(B16-B15)*PI()/180*(C16+C15)/2</x:f>
        <x:v>0.021965068957468935</x:v>
      </x:c>
      <x:c r="E16" s="47" t="n">
        <x:f>E15+D16</x:f>
        <x:v>0.18105017108421423</x:v>
      </x:c>
    </x:row>
    <x:row r="17">
      <x:c r="A17" s="1"/>
      <x:c r="B17" s="40" t="n">
        <x:v>50</x:v>
      </x:c>
      <x:c r="C17" s="44" t="n">
        <x:v>0.15999999999999998</x:v>
      </x:c>
      <x:c r="D17" s="47" t="n">
        <x:f>(B17-B16)*PI()/180*(C17+C16)/2</x:f>
        <x:v>0.0168543902038848</x:v>
      </x:c>
      <x:c r="E17" s="47" t="n">
        <x:f>E16+D17</x:f>
        <x:v>0.19790456128809902</x:v>
      </x:c>
    </x:row>
    <x:row r="18">
      <x:c r="A18" s="1"/>
      <x:c r="B18" s="40" t="n">
        <x:v>55</x:v>
      </x:c>
      <x:c r="C18" s="44" t="n">
        <x:v>0.08282209443280658</x:v>
      </x:c>
      <x:c r="D18" s="47" t="n">
        <x:f>(B18-B17)*PI()/180*(C18+C17)/2</x:f>
        <x:v>0.010595112611102667</x:v>
      </x:c>
      <x:c r="E18" s="47" t="n">
        <x:f>E17+D18</x:f>
        <x:v>0.20849967389920168</x:v>
      </x:c>
    </x:row>
    <x:row r="19">
      <x:c r="A19" s="1"/>
      <x:c r="B19" s="40" t="n">
        <x:v>60</x:v>
      </x:c>
      <x:c r="C19" s="44" t="n">
        <x:v>1.8129724472473535e-16</x:v>
      </x:c>
      <x:c r="D19" s="47" t="n">
        <x:f>(B19-B18)*PI()/180*(C19+C18)/2</x:f>
        <x:v>0.0036137956031253586</x:v>
      </x:c>
      <x:c r="E19" s="47" t="n">
        <x:f>E18+D19</x:f>
        <x:v>0.21211346950232704</x:v>
      </x:c>
    </x:row>
    <x:row r="20">
      <x:c r="A20" s="1"/>
      <x:c r="B20" s="40" t="n">
        <x:v>65</x:v>
      </x:c>
      <x:c r="C20" s="44" t="n">
        <x:v>0</x:v>
      </x:c>
      <x:c r="D20" s="47" t="n">
        <x:f>(B20-B19)*PI()/180*(C20+C19)/2</x:f>
        <x:v>7.910584613101381e-18</x:v>
      </x:c>
      <x:c r="E20" s="47" t="n">
        <x:f>E19+D20</x:f>
        <x:v>0.21211346950232704</x:v>
      </x:c>
    </x:row>
    <x:row r="21">
      <x:c r="A21" s="1"/>
      <x:c r="B21" s="40" t="n">
        <x:v>70</x:v>
      </x:c>
      <x:c r="C21" s="44" t="n">
        <x:v>0</x:v>
      </x:c>
      <x:c r="D21" s="47" t="n">
        <x:f>(B21-B20)*PI()/180*(C21+C20)/2</x:f>
        <x:v>0</x:v>
      </x:c>
      <x:c r="E21" s="47" t="n">
        <x:f>E20+D21</x:f>
        <x:v>0.21211346950232704</x:v>
      </x:c>
    </x:row>
    <x:row r="22">
      <x:c r="A22" s="1"/>
      <x:c r="B22" s="1"/>
      <x:c r="C22" s="1"/>
      <x:c r="D22" s="1"/>
      <x:c r="E22" s="1"/>
    </x:row>
    <x:row r="23" ht="42" customHeight="1">
      <x:c r="A23" s="1"/>
      <x:c r="B23" s="49" t="str">
        <x:v>Sources and limits: Trapezoidal integration demonstration. Use the approved curve, downflooding angle and applicable criteria.</x:v>
      </x:c>
      <x:c r="C23" s="49"/>
      <x:c r="D23" s="49"/>
      <x:c r="E23" s="49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23:E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SELECTED 2008 IS CODE GENERAL CRITERIA</x:v>
      </x:c>
      <x:c r="C2" s="35"/>
      <x:c r="D2" s="35"/>
      <x:c r="E2" s="35"/>
    </x:row>
    <x:row r="3" ht="52" customHeight="1">
      <x:c r="A3" s="1"/>
      <x:c r="B3" s="39" t="str">
        <x:v>These are selected general criteria from Part A 2.2; confirm applicability and limiting angle provisions in the Code.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INPUTS</x:v>
      </x:c>
      <x:c r="C5" s="13"/>
      <x:c r="D5" s="13"/>
      <x:c r="E5" s="13"/>
    </x:row>
    <x:row r="6">
      <x:c r="A6" s="1"/>
      <x:c r="B6" s="51" t="str">
        <x:v>Parameter</x:v>
      </x:c>
      <x:c r="C6" s="51" t="str">
        <x:v>Value</x:v>
      </x:c>
      <x:c r="D6" s="51" t="str">
        <x:v>Unit</x:v>
      </x:c>
      <x:c r="E6" s="51" t="str">
        <x:v>Explanation / source</x:v>
      </x:c>
    </x:row>
    <x:row r="7" ht="34" customHeight="1">
      <x:c r="A7" s="1"/>
      <x:c r="B7" s="52" t="str">
        <x:v>Area 0–30°</x:v>
      </x:c>
      <x:c r="C7" s="54" t="n">
        <x:v>0.06</x:v>
      </x:c>
      <x:c r="D7" s="56" t="str">
        <x:v>m rad</x:v>
      </x:c>
      <x:c r="E7" s="38" t="str">
        <x:v>From approved GZ curve; minimum 0.055.</x:v>
      </x:c>
    </x:row>
    <x:row r="8" ht="34" customHeight="1">
      <x:c r="A8" s="1"/>
      <x:c r="B8" s="52" t="str">
        <x:v>Area 0–40° or flooding angle</x:v>
      </x:c>
      <x:c r="C8" s="54" t="n">
        <x:v>0.095</x:v>
      </x:c>
      <x:c r="D8" s="56" t="str">
        <x:v>m rad</x:v>
      </x:c>
      <x:c r="E8" s="38" t="str">
        <x:v>Minimum 0.090, with limiting angle provisions.</x:v>
      </x:c>
    </x:row>
    <x:row r="9" ht="34" customHeight="1">
      <x:c r="A9" s="1"/>
      <x:c r="B9" s="52" t="str">
        <x:v>Area 30–40° or flooding angle</x:v>
      </x:c>
      <x:c r="C9" s="54" t="n">
        <x:v>0.035</x:v>
      </x:c>
      <x:c r="D9" s="56" t="str">
        <x:v>m rad</x:v>
      </x:c>
      <x:c r="E9" s="38" t="str">
        <x:v>Minimum 0.030, with limiting angle provisions.</x:v>
      </x:c>
    </x:row>
    <x:row r="10" ht="34" customHeight="1">
      <x:c r="A10" s="1"/>
      <x:c r="B10" s="52" t="str">
        <x:v>Maximum GZ</x:v>
      </x:c>
      <x:c r="C10" s="54" t="n">
        <x:v>0.25</x:v>
      </x:c>
      <x:c r="D10" s="56" t="str">
        <x:v>m</x:v>
      </x:c>
      <x:c r="E10" s="38" t="str">
        <x:v>Minimum 0.20 at angle ≥30°.</x:v>
      </x:c>
    </x:row>
    <x:row r="11" ht="34" customHeight="1">
      <x:c r="A11" s="1"/>
      <x:c r="B11" s="52" t="str">
        <x:v>Angle of maximum GZ</x:v>
      </x:c>
      <x:c r="C11" s="54" t="n">
        <x:v>32</x:v>
      </x:c>
      <x:c r="D11" s="56" t="str">
        <x:v>deg</x:v>
      </x:c>
      <x:c r="E11" s="38" t="str">
        <x:v>Should occur at angle not less than 25°.</x:v>
      </x:c>
    </x:row>
    <x:row r="12" ht="34" customHeight="1">
      <x:c r="A12" s="1"/>
      <x:c r="B12" s="52" t="str">
        <x:v>Initial GM corrected</x:v>
      </x:c>
      <x:c r="C12" s="54" t="n">
        <x:v>0.18</x:v>
      </x:c>
      <x:c r="D12" s="56" t="str">
        <x:v>m</x:v>
      </x:c>
      <x:c r="E12" s="38" t="str">
        <x:v>Minimum 0.15 m.</x:v>
      </x:c>
    </x:row>
    <x:row r="13">
      <x:c r="A13" s="1"/>
      <x:c r="B13" s="1"/>
      <x:c r="C13" s="1"/>
      <x:c r="D13" s="1"/>
      <x:c r="E13" s="1"/>
    </x:row>
    <x:row r="14">
      <x:c r="A14" s="1"/>
      <x:c r="B14" s="13" t="str">
        <x:v>CHECKS</x:v>
      </x:c>
      <x:c r="C14" s="13"/>
      <x:c r="D14" s="13"/>
      <x:c r="E14" s="13"/>
    </x:row>
    <x:row r="15">
      <x:c r="A15" s="1"/>
      <x:c r="B15" s="51" t="str">
        <x:v>Criterion</x:v>
      </x:c>
      <x:c r="C15" s="51" t="str">
        <x:v>Result</x:v>
      </x:c>
      <x:c r="D15" s="51" t="str">
        <x:v>Required</x:v>
      </x:c>
      <x:c r="E15" s="51" t="str">
        <x:v>Note</x:v>
      </x:c>
    </x:row>
    <x:row r="16" ht="32" customHeight="1">
      <x:c r="A16" s="1"/>
      <x:c r="B16" s="58" t="str">
        <x:v>Area 0–30°</x:v>
      </x:c>
      <x:c r="C16" s="60" t="str">
        <x:f>IF(C7&gt;=0.055,"PASS","FAIL")</x:f>
        <x:v>PASS</x:v>
      </x:c>
      <x:c r="D16" s="62" t="str">
        <x:v>≥0.055 m rad</x:v>
      </x:c>
      <x:c r="E16" s="57" t="str">
        <x:v>MSC.267(85) Part A 2.2.</x:v>
      </x:c>
    </x:row>
    <x:row r="17" ht="32" customHeight="1">
      <x:c r="A17" s="1"/>
      <x:c r="B17" s="58" t="str">
        <x:v>Area 0–40°</x:v>
      </x:c>
      <x:c r="C17" s="60" t="str">
        <x:f>IF(C8&gt;=0.09,"PASS","FAIL")</x:f>
        <x:v>PASS</x:v>
      </x:c>
      <x:c r="D17" s="62" t="str">
        <x:v>≥0.090 m rad</x:v>
      </x:c>
      <x:c r="E17" s="57" t="str">
        <x:v>Apply limiting angle provisions.</x:v>
      </x:c>
    </x:row>
    <x:row r="18" ht="32" customHeight="1">
      <x:c r="A18" s="1"/>
      <x:c r="B18" s="58" t="str">
        <x:v>Area 30–40°</x:v>
      </x:c>
      <x:c r="C18" s="60" t="str">
        <x:f>IF(C9&gt;=0.03,"PASS","FAIL")</x:f>
        <x:v>PASS</x:v>
      </x:c>
      <x:c r="D18" s="62" t="str">
        <x:v>≥0.030 m rad</x:v>
      </x:c>
      <x:c r="E18" s="57" t="str">
        <x:v>Apply limiting angle provisions.</x:v>
      </x:c>
    </x:row>
    <x:row r="19" ht="32" customHeight="1">
      <x:c r="A19" s="1"/>
      <x:c r="B19" s="58" t="str">
        <x:v>Maximum GZ</x:v>
      </x:c>
      <x:c r="C19" s="60" t="str">
        <x:f>IF(AND(C10&gt;=0.2,C11&gt;=30),"PASS","FAIL")</x:f>
        <x:v>PASS</x:v>
      </x:c>
      <x:c r="D19" s="62" t="str">
        <x:v>≥0.20 m at ≥30°</x:v>
      </x:c>
      <x:c r="E19" s="57" t="str">
        <x:v>Alternative allowance may be considered only as Code states.</x:v>
      </x:c>
    </x:row>
    <x:row r="20" ht="32" customHeight="1">
      <x:c r="A20" s="1"/>
      <x:c r="B20" s="58" t="str">
        <x:v>Angle max GZ</x:v>
      </x:c>
      <x:c r="C20" s="60" t="str">
        <x:f>IF(C11&gt;=25,"PASS","FAIL")</x:f>
        <x:v>PASS</x:v>
      </x:c>
      <x:c r="D20" s="62" t="str">
        <x:v>≥25°</x:v>
      </x:c>
      <x:c r="E20" s="57" t="str">
        <x:v>Selected general criterion.</x:v>
      </x:c>
    </x:row>
    <x:row r="21" ht="32" customHeight="1">
      <x:c r="A21" s="1"/>
      <x:c r="B21" s="58" t="str">
        <x:v>Initial GM</x:v>
      </x:c>
      <x:c r="C21" s="60" t="str">
        <x:f>IF(C12&gt;=0.15,"PASS","FAIL")</x:f>
        <x:v>PASS</x:v>
      </x:c>
      <x:c r="D21" s="62" t="str">
        <x:v>≥0.15 m</x:v>
      </x:c>
      <x:c r="E21" s="57" t="str">
        <x:v>After free-surface correction.</x:v>
      </x:c>
    </x:row>
    <x:row r="22">
      <x:c r="A22" s="1"/>
      <x:c r="B22" s="1"/>
      <x:c r="C22" s="1"/>
      <x:c r="D22" s="1"/>
      <x:c r="E22" s="1"/>
    </x:row>
    <x:row r="23" ht="42" customHeight="1">
      <x:c r="A23" s="1"/>
      <x:c r="B23" s="49" t="str">
        <x:v>Sources and limits: IMO MSC.267(85), Part A 2.2. This sheet excludes weather criterion and vessel-specific criteria.</x:v>
      </x:c>
      <x:c r="C23" s="49"/>
      <x:c r="D23" s="49"/>
      <x:c r="E23" s="49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  <x:mergeCell ref="B23:E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FREE SURFACE -- VIRTUAL RISE OF G</x:v>
      </x:c>
      <x:c r="C2" s="35"/>
      <x:c r="D2" s="35"/>
      <x:c r="E2" s="35"/>
    </x:row>
    <x:row r="3" ht="52" customHeight="1">
      <x:c r="A3" s="1"/>
      <x:c r="B3" s="39" t="str">
        <x:v>Free-surface correction is the sum of liquid free-surface moments divided by displacement.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INPUTS</x:v>
      </x:c>
      <x:c r="C5" s="13"/>
      <x:c r="D5" s="13"/>
      <x:c r="E5" s="13"/>
    </x:row>
    <x:row r="6">
      <x:c r="A6" s="1"/>
      <x:c r="B6" s="51" t="str">
        <x:v>Parameter</x:v>
      </x:c>
      <x:c r="C6" s="51" t="str">
        <x:v>Value</x:v>
      </x:c>
      <x:c r="D6" s="51" t="str">
        <x:v>Unit</x:v>
      </x:c>
      <x:c r="E6" s="51" t="str">
        <x:v>Explanation / source</x:v>
      </x:c>
    </x:row>
    <x:row r="7" ht="34" customHeight="1">
      <x:c r="A7" s="1"/>
      <x:c r="B7" s="52" t="str">
        <x:v>Displacement</x:v>
      </x:c>
      <x:c r="C7" s="54" t="n">
        <x:v>5000</x:v>
      </x:c>
      <x:c r="D7" s="56" t="str">
        <x:v>t</x:v>
      </x:c>
      <x:c r="E7" s="38" t="str">
        <x:v>Current loading condition.</x:v>
      </x:c>
    </x:row>
    <x:row r="8" ht="34" customHeight="1">
      <x:c r="A8" s="1"/>
      <x:c r="B8" s="52" t="str">
        <x:v>Uncorrected GM</x:v>
      </x:c>
      <x:c r="C8" s="54" t="n">
        <x:v>1.2</x:v>
      </x:c>
      <x:c r="D8" s="56" t="str">
        <x:v>m</x:v>
      </x:c>
      <x:c r="E8" s="38" t="str">
        <x:v>Before free-surface correction.</x:v>
      </x:c>
    </x:row>
    <x:row r="9" ht="34" customHeight="1">
      <x:c r="A9" s="1"/>
      <x:c r="B9" s="52" t="str">
        <x:v>Tank 1 FSM</x:v>
      </x:c>
      <x:c r="C9" s="54" t="n">
        <x:v>600</x:v>
      </x:c>
      <x:c r="D9" s="56" t="str">
        <x:v>t m</x:v>
      </x:c>
      <x:c r="E9" s="38" t="str">
        <x:v>Use approved tank tables and actual density.</x:v>
      </x:c>
    </x:row>
    <x:row r="10" ht="34" customHeight="1">
      <x:c r="A10" s="1"/>
      <x:c r="B10" s="52" t="str">
        <x:v>Tank 2 FSM</x:v>
      </x:c>
      <x:c r="C10" s="54" t="n">
        <x:v>350</x:v>
      </x:c>
      <x:c r="D10" s="56" t="str">
        <x:v>t m</x:v>
      </x:c>
      <x:c r="E10" s="38" t="str">
        <x:v>Use approved tank tables and actual density.</x:v>
      </x:c>
    </x:row>
    <x:row r="11" ht="34" customHeight="1">
      <x:c r="A11" s="1"/>
      <x:c r="B11" s="52" t="str">
        <x:v>Tank 3 FSM</x:v>
      </x:c>
      <x:c r="C11" s="54" t="n">
        <x:v>0</x:v>
      </x:c>
      <x:c r="D11" s="56" t="str">
        <x:v>t m</x:v>
      </x:c>
      <x:c r="E11" s="38" t="str">
        <x:v>Add further tanks in the approved model.</x:v>
      </x:c>
    </x:row>
    <x:row r="12">
      <x:c r="A12" s="1"/>
      <x:c r="B12" s="1"/>
      <x:c r="C12" s="1"/>
      <x:c r="D12" s="1"/>
      <x:c r="E12" s="1"/>
    </x:row>
    <x:row r="13">
      <x:c r="A13" s="1"/>
      <x:c r="B13" s="13" t="str">
        <x:v>RESULTS</x:v>
      </x:c>
      <x:c r="C13" s="13"/>
      <x:c r="D13" s="13"/>
      <x:c r="E13" s="13"/>
    </x:row>
    <x:row r="14">
      <x:c r="A14" s="1"/>
      <x:c r="B14" s="51" t="str">
        <x:v>Result</x:v>
      </x:c>
      <x:c r="C14" s="51" t="str">
        <x:v>Value</x:v>
      </x:c>
      <x:c r="D14" s="51" t="str">
        <x:v>Unit</x:v>
      </x:c>
      <x:c r="E14" s="51" t="str">
        <x:v>Formula / limitation</x:v>
      </x:c>
    </x:row>
    <x:row r="15" ht="32" customHeight="1">
      <x:c r="A15" s="1"/>
      <x:c r="B15" s="58" t="str">
        <x:v>Total FSM</x:v>
      </x:c>
      <x:c r="C15" s="60" t="n">
        <x:f>SUM(C9:C11)</x:f>
        <x:v>950</x:v>
      </x:c>
      <x:c r="D15" s="62" t="str">
        <x:v>t m</x:v>
      </x:c>
      <x:c r="E15" s="57" t="str">
        <x:v>Sum of active slack-tank moments.</x:v>
      </x:c>
    </x:row>
    <x:row r="16" ht="32" customHeight="1">
      <x:c r="A16" s="1"/>
      <x:c r="B16" s="58" t="str">
        <x:v>Virtual rise GGv</x:v>
      </x:c>
      <x:c r="C16" s="60" t="n">
        <x:f>C15/C7</x:f>
        <x:v>0.19</x:v>
      </x:c>
      <x:c r="D16" s="62" t="str">
        <x:v>m</x:v>
      </x:c>
      <x:c r="E16" s="57" t="str">
        <x:v>FSM / displacement.</x:v>
      </x:c>
    </x:row>
    <x:row r="17" ht="32" customHeight="1">
      <x:c r="A17" s="1"/>
      <x:c r="B17" s="58" t="str">
        <x:v>Corrected GM</x:v>
      </x:c>
      <x:c r="C17" s="60" t="n">
        <x:f>C8-C16</x:f>
        <x:v>1.01</x:v>
      </x:c>
      <x:c r="D17" s="62" t="str">
        <x:v>m</x:v>
      </x:c>
      <x:c r="E17" s="57" t="str">
        <x:v>Uncorrected GM minus virtual rise.</x:v>
      </x:c>
    </x:row>
    <x:row r="18" ht="32" customHeight="1">
      <x:c r="A18" s="1"/>
      <x:c r="B18" s="58" t="str">
        <x:v>Screening status</x:v>
      </x:c>
      <x:c r="C18" s="60" t="str">
        <x:f>IF(C17&gt;0,"POSITIVE GM -- CHECK FULL CRITERIA","NON-POSITIVE GM -- REVISE CONDITION")</x:f>
        <x:v>POSITIVE GM -- CHECK FULL CRITERIA</x:v>
      </x:c>
      <x:c r="D18" s="62" t="str"/>
      <x:c r="E18" s="57" t="str">
        <x:v>Positive GM alone is not compliance.</x:v>
      </x:c>
    </x:row>
    <x:row r="19">
      <x:c r="A19" s="1"/>
      <x:c r="B19" s="1"/>
      <x:c r="C19" s="1"/>
      <x:c r="D19" s="1"/>
      <x:c r="E19" s="1"/>
    </x:row>
    <x:row r="20" ht="42" customHeight="1">
      <x:c r="A20" s="1"/>
      <x:c r="B20" s="49" t="str">
        <x:v>Sources and limits: 2008 IS Code free-surface principles; approved tank data and loading computer govern.</x:v>
      </x:c>
      <x:c r="C20" s="49"/>
      <x:c r="D20" s="49"/>
      <x:c r="E20" s="49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3:E13"/>
    <x:mergeCell ref="B20:E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LIMITING KG -- GM-BASED SCREENING</x:v>
      </x:c>
      <x:c r="C2" s="35"/>
      <x:c r="D2" s="35"/>
      <x:c r="E2" s="35"/>
    </x:row>
    <x:row r="3" ht="52" customHeight="1">
      <x:c r="A3" s="1"/>
      <x:c r="B3" s="39" t="str">
        <x:v>A GM-derived KG limit is only one constraint; the approved limiting KG is the minimum across all applicable criteria.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INPUTS</x:v>
      </x:c>
      <x:c r="C5" s="13"/>
      <x:c r="D5" s="13"/>
      <x:c r="E5" s="13"/>
    </x:row>
    <x:row r="6">
      <x:c r="A6" s="1"/>
      <x:c r="B6" s="51" t="str">
        <x:v>Parameter</x:v>
      </x:c>
      <x:c r="C6" s="51" t="str">
        <x:v>Value</x:v>
      </x:c>
      <x:c r="D6" s="51" t="str">
        <x:v>Unit</x:v>
      </x:c>
      <x:c r="E6" s="51" t="str">
        <x:v>Explanation / source</x:v>
      </x:c>
    </x:row>
    <x:row r="7" ht="34" customHeight="1">
      <x:c r="A7" s="1"/>
      <x:c r="B7" s="52" t="str">
        <x:v>KM at condition</x:v>
      </x:c>
      <x:c r="C7" s="54" t="n">
        <x:v>7.2</x:v>
      </x:c>
      <x:c r="D7" s="56" t="str">
        <x:v>m</x:v>
      </x:c>
      <x:c r="E7" s="38" t="str">
        <x:v>From approved hydrostatics at displacement/trim.</x:v>
      </x:c>
    </x:row>
    <x:row r="8" ht="34" customHeight="1">
      <x:c r="A8" s="1"/>
      <x:c r="B8" s="52" t="str">
        <x:v>Required corrected GM</x:v>
      </x:c>
      <x:c r="C8" s="54" t="n">
        <x:v>0.15</x:v>
      </x:c>
      <x:c r="D8" s="56" t="str">
        <x:v>m</x:v>
      </x:c>
      <x:c r="E8" s="38" t="str">
        <x:v>Applicable minimum; project input.</x:v>
      </x:c>
    </x:row>
    <x:row r="9" ht="34" customHeight="1">
      <x:c r="A9" s="1"/>
      <x:c r="B9" s="52" t="str">
        <x:v>Free-surface correction</x:v>
      </x:c>
      <x:c r="C9" s="54" t="n">
        <x:v>0.18</x:v>
      </x:c>
      <x:c r="D9" s="56" t="str">
        <x:v>m</x:v>
      </x:c>
      <x:c r="E9" s="38" t="str">
        <x:v>Total FSM / displacement.</x:v>
      </x:c>
    </x:row>
    <x:row r="10" ht="34" customHeight="1">
      <x:c r="A10" s="1"/>
      <x:c r="B10" s="52" t="str">
        <x:v>Actual KG</x:v>
      </x:c>
      <x:c r="C10" s="54" t="n">
        <x:v>6.7</x:v>
      </x:c>
      <x:c r="D10" s="56" t="str">
        <x:v>m</x:v>
      </x:c>
      <x:c r="E10" s="38" t="str">
        <x:v>Current loading condition.</x:v>
      </x:c>
    </x:row>
    <x:row r="11">
      <x:c r="A11" s="1"/>
      <x:c r="B11" s="1"/>
      <x:c r="C11" s="1"/>
      <x:c r="D11" s="1"/>
      <x:c r="E11" s="1"/>
    </x:row>
    <x:row r="12">
      <x:c r="A12" s="1"/>
      <x:c r="B12" s="13" t="str">
        <x:v>RESULTS</x:v>
      </x:c>
      <x:c r="C12" s="13"/>
      <x:c r="D12" s="13"/>
      <x:c r="E12" s="13"/>
    </x:row>
    <x:row r="13">
      <x:c r="A13" s="1"/>
      <x:c r="B13" s="51" t="str">
        <x:v>Result</x:v>
      </x:c>
      <x:c r="C13" s="51" t="str">
        <x:v>Value</x:v>
      </x:c>
      <x:c r="D13" s="51" t="str">
        <x:v>Unit</x:v>
      </x:c>
      <x:c r="E13" s="51" t="str">
        <x:v>Meaning</x:v>
      </x:c>
    </x:row>
    <x:row r="14" ht="32" customHeight="1">
      <x:c r="A14" s="1"/>
      <x:c r="B14" s="58" t="str">
        <x:v>GM-based limiting KG</x:v>
      </x:c>
      <x:c r="C14" s="60" t="n">
        <x:f>C7-C8-C9</x:f>
        <x:v>6.87</x:v>
      </x:c>
      <x:c r="D14" s="62" t="str">
        <x:v>m</x:v>
      </x:c>
      <x:c r="E14" s="57" t="str">
        <x:v>KM − required GM − FSC.</x:v>
      </x:c>
    </x:row>
    <x:row r="15" ht="32" customHeight="1">
      <x:c r="A15" s="1"/>
      <x:c r="B15" s="58" t="str">
        <x:v>KG margin</x:v>
      </x:c>
      <x:c r="C15" s="60" t="n">
        <x:f>C14-C10</x:f>
        <x:v>0.16999999999999993</x:v>
      </x:c>
      <x:c r="D15" s="62" t="str">
        <x:v>m</x:v>
      </x:c>
      <x:c r="E15" s="57" t="str">
        <x:v>Positive is below this screening limit.</x:v>
      </x:c>
    </x:row>
    <x:row r="16" ht="32" customHeight="1">
      <x:c r="A16" s="1"/>
      <x:c r="B16" s="58" t="str">
        <x:v>Status</x:v>
      </x:c>
      <x:c r="C16" s="60" t="str">
        <x:f>IF(C15&gt;=0,"PASS THIS SCREEN","FAIL THIS SCREEN")</x:f>
        <x:v>PASS THIS SCREEN</x:v>
      </x:c>
      <x:c r="D16" s="62" t="str"/>
      <x:c r="E16" s="57" t="str">
        <x:v>Full limiting-KG curve may be lower.</x:v>
      </x:c>
    </x:row>
    <x:row r="17">
      <x:c r="A17" s="1"/>
      <x:c r="B17" s="1"/>
      <x:c r="C17" s="1"/>
      <x:c r="D17" s="1"/>
      <x:c r="E17" s="1"/>
    </x:row>
    <x:row r="18" ht="42" customHeight="1">
      <x:c r="A18" s="1"/>
      <x:c r="B18" s="49" t="str">
        <x:v>Sources and limits: GM identity. Full limiting KG must include GZ area, weather and all applicable special criteria.</x:v>
      </x:c>
      <x:c r="C18" s="49"/>
      <x:c r="D18" s="49"/>
      <x:c r="E18" s="49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2:E12"/>
    <x:mergeCell ref="B18:E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DAMAGE INDEX -- A/R SCREENING</x:v>
      </x:c>
      <x:c r="C2" s="35"/>
      <x:c r="D2" s="35"/>
      <x:c r="E2" s="35"/>
    </x:row>
    <x:row r="3" ht="52" customHeight="1">
      <x:c r="A3" s="1"/>
      <x:c r="B3" s="39" t="str">
        <x:v>Probabilistic compliance is A ≥ R. Enter approved subdivision-calculation contributions; this sheet only sums them.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GLOBAL INPUT</x:v>
      </x:c>
      <x:c r="C5" s="13"/>
      <x:c r="D5" s="13"/>
      <x:c r="E5" s="13"/>
    </x:row>
    <x:row r="6">
      <x:c r="A6" s="1"/>
      <x:c r="B6" s="51" t="str">
        <x:v>Parameter</x:v>
      </x:c>
      <x:c r="C6" s="51" t="str">
        <x:v>Value</x:v>
      </x:c>
      <x:c r="D6" s="51" t="str">
        <x:v>Unit</x:v>
      </x:c>
      <x:c r="E6" s="51" t="str">
        <x:v>Explanation / source</x:v>
      </x:c>
    </x:row>
    <x:row r="7" ht="34" customHeight="1">
      <x:c r="A7" s="1"/>
      <x:c r="B7" s="52" t="str">
        <x:v>Required index R</x:v>
      </x:c>
      <x:c r="C7" s="54" t="n">
        <x:v>0.65</x:v>
      </x:c>
      <x:c r="D7" s="56" t="str">
        <x:v>-</x:v>
      </x:c>
      <x:c r="E7" s="38" t="str">
        <x:v>Obtain from applicable SOLAS calculation.</x:v>
      </x:c>
    </x:row>
    <x:row r="8" ht="34" customHeight="1">
      <x:c r="A8" s="1"/>
      <x:c r="B8" s="52" t="str">
        <x:v>Number of scenario rows</x:v>
      </x:c>
      <x:c r="C8" s="54" t="n">
        <x:v>6</x:v>
      </x:c>
      <x:c r="D8" s="56" t="str">
        <x:v>-</x:v>
      </x:c>
      <x:c r="E8" s="38" t="str">
        <x:v>Demonstration table below.</x:v>
      </x:c>
    </x:row>
    <x:row r="9">
      <x:c r="A9" s="1"/>
      <x:c r="B9" s="1"/>
      <x:c r="C9" s="1"/>
      <x:c r="D9" s="1"/>
      <x:c r="E9" s="1"/>
    </x:row>
    <x:row r="10">
      <x:c r="A10" s="1"/>
      <x:c r="B10" s="1"/>
      <x:c r="C10" s="1"/>
      <x:c r="D10" s="1"/>
      <x:c r="E10" s="1"/>
    </x:row>
    <x:row r="11">
      <x:c r="A11" s="1"/>
      <x:c r="B11" s="20" t="str">
        <x:v>Damage scenario</x:v>
      </x:c>
      <x:c r="C11" s="20" t="str">
        <x:v>Probability p</x:v>
      </x:c>
      <x:c r="D11" s="20" t="str">
        <x:v>Survival s</x:v>
      </x:c>
      <x:c r="E11" s="20" t="str">
        <x:v>Contribution p×s</x:v>
      </x:c>
    </x:row>
    <x:row r="12">
      <x:c r="A12" s="1"/>
      <x:c r="B12" s="1" t="str">
        <x:v>1</x:v>
      </x:c>
      <x:c r="C12" s="43" t="n">
        <x:v>0.12</x:v>
      </x:c>
      <x:c r="D12" s="43" t="n">
        <x:v>0.9</x:v>
      </x:c>
      <x:c r="E12" s="63" t="n">
        <x:f>C12*D12</x:f>
        <x:v>0.108</x:v>
      </x:c>
    </x:row>
    <x:row r="13">
      <x:c r="A13" s="1"/>
      <x:c r="B13" s="1" t="str">
        <x:v>2</x:v>
      </x:c>
      <x:c r="C13" s="43" t="n">
        <x:v>0.1</x:v>
      </x:c>
      <x:c r="D13" s="43" t="n">
        <x:v>0.8</x:v>
      </x:c>
      <x:c r="E13" s="63" t="n">
        <x:f>C13*D13</x:f>
        <x:v>0.08000000000000002</x:v>
      </x:c>
    </x:row>
    <x:row r="14">
      <x:c r="A14" s="1"/>
      <x:c r="B14" s="1" t="str">
        <x:v>3</x:v>
      </x:c>
      <x:c r="C14" s="43" t="n">
        <x:v>0.15</x:v>
      </x:c>
      <x:c r="D14" s="43" t="n">
        <x:v>0.7</x:v>
      </x:c>
      <x:c r="E14" s="63" t="n">
        <x:f>C14*D14</x:f>
        <x:v>0.105</x:v>
      </x:c>
    </x:row>
    <x:row r="15">
      <x:c r="A15" s="1"/>
      <x:c r="B15" s="1" t="str">
        <x:v>4</x:v>
      </x:c>
      <x:c r="C15" s="43" t="n">
        <x:v>0.08</x:v>
      </x:c>
      <x:c r="D15" s="43" t="n">
        <x:v>0.6</x:v>
      </x:c>
      <x:c r="E15" s="63" t="n">
        <x:f>C15*D15</x:f>
        <x:v>0.048</x:v>
      </x:c>
    </x:row>
    <x:row r="16">
      <x:c r="A16" s="1"/>
      <x:c r="B16" s="1" t="str">
        <x:v>5</x:v>
      </x:c>
      <x:c r="C16" s="43" t="n">
        <x:v>0.18</x:v>
      </x:c>
      <x:c r="D16" s="43" t="n">
        <x:v>0.9</x:v>
      </x:c>
      <x:c r="E16" s="63" t="n">
        <x:f>C16*D16</x:f>
        <x:v>0.162</x:v>
      </x:c>
    </x:row>
    <x:row r="17">
      <x:c r="A17" s="1"/>
      <x:c r="B17" s="1" t="str">
        <x:v>6</x:v>
      </x:c>
      <x:c r="C17" s="43" t="n">
        <x:v>0.2</x:v>
      </x:c>
      <x:c r="D17" s="43" t="n">
        <x:v>0.8</x:v>
      </x:c>
      <x:c r="E17" s="63" t="n">
        <x:f>C17*D17</x:f>
        <x:v>0.16000000000000003</x:v>
      </x:c>
    </x:row>
    <x:row r="18">
      <x:c r="A18" s="1"/>
      <x:c r="B18" s="1"/>
      <x:c r="C18" s="1"/>
      <x:c r="D18" s="1"/>
      <x:c r="E18" s="1"/>
    </x:row>
    <x:row r="19">
      <x:c r="A19" s="1"/>
      <x:c r="B19" s="57" t="str">
        <x:v>Attained index A</x:v>
      </x:c>
      <x:c r="C19" s="57" t="n">
        <x:f>SUM(E12:E17)</x:f>
        <x:v>0.663</x:v>
      </x:c>
      <x:c r="D19" s="57" t="str">
        <x:v>-</x:v>
      </x:c>
      <x:c r="E19" s="57" t="str">
        <x:v>Sum of p×s</x:v>
      </x:c>
    </x:row>
    <x:row r="20">
      <x:c r="A20" s="1"/>
      <x:c r="B20" s="57" t="str">
        <x:v>A/R ratio</x:v>
      </x:c>
      <x:c r="C20" s="57" t="n">
        <x:f>C19/C7</x:f>
        <x:v>1.02</x:v>
      </x:c>
      <x:c r="D20" s="57" t="str">
        <x:v>-</x:v>
      </x:c>
      <x:c r="E20" s="57" t="str">
        <x:v>Screening ratio</x:v>
      </x:c>
    </x:row>
    <x:row r="21">
      <x:c r="A21" s="1"/>
      <x:c r="B21" s="57" t="str">
        <x:v>Status</x:v>
      </x:c>
      <x:c r="C21" s="57" t="str">
        <x:f>IF(C19&gt;=C7,"A &gt;= R","A &lt; R")</x:f>
        <x:v>A &gt;= R</x:v>
      </x:c>
      <x:c r="D21" s="57" t="str"/>
      <x:c r="E21" s="57" t="str">
        <x:v>A ≥ R only; subdivision model approval remains required.</x:v>
      </x:c>
    </x:row>
    <x:row r="22">
      <x:c r="A22" s="1"/>
      <x:c r="B22" s="1"/>
      <x:c r="C22" s="1"/>
      <x:c r="D22" s="1"/>
      <x:c r="E22" s="1"/>
    </x:row>
    <x:row r="23" ht="42" customHeight="1">
      <x:c r="A23" s="1"/>
      <x:c r="B23" s="49" t="str">
        <x:v>Sources and limits: SOLAS II-1 probabilistic framework. Scenario probabilities and survival factors must come from the approved calculation.</x:v>
      </x:c>
      <x:c r="C23" s="49"/>
      <x:c r="D23" s="49"/>
      <x:c r="E23" s="49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23:E2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MODEL QA -- REQUIRED BEFORE RELYING ON RESULTS</x:v>
      </x:c>
      <x:c r="C2" s="35"/>
      <x:c r="D2" s="35"/>
      <x:c r="E2" s="35"/>
    </x:row>
    <x:row r="3" ht="52" customHeight="1">
      <x:c r="A3" s="1"/>
      <x:c r="B3" s="39" t="str">
        <x:v>Most serious stability errors originate in geometry, openings, permeability, loading data or inconsistent conventions.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51" t="str">
        <x:v>QA item</x:v>
      </x:c>
      <x:c r="C6" s="51" t="str">
        <x:v>Check method</x:v>
      </x:c>
      <x:c r="D6" s="51" t="str">
        <x:v>Acceptance evidence</x:v>
      </x:c>
      <x:c r="E6" s="51" t="str">
        <x:v>Status</x:v>
      </x:c>
    </x:row>
    <x:row r="7">
      <x:c r="A7" s="1"/>
      <x:c r="B7" s="66" t="str">
        <x:v>Coordinate system</x:v>
      </x:c>
      <x:c r="C7" s="65" t="str">
        <x:v>Confirm axes, signs, baseline and reference points</x:v>
      </x:c>
      <x:c r="D7" s="65" t="str">
        <x:v>Model basis note</x:v>
      </x:c>
      <x:c r="E7" s="65" t="str">
        <x:v>Open</x:v>
      </x:c>
    </x:row>
    <x:row r="8">
      <x:c r="A8" s="1"/>
      <x:c r="B8" s="67" t="str">
        <x:v>Watertight boundaries</x:v>
      </x:c>
      <x:c r="C8" s="22" t="str">
        <x:v>Compare compartment model to approved plans</x:v>
      </x:c>
      <x:c r="D8" s="22" t="str">
        <x:v>Compartment audit</x:v>
      </x:c>
      <x:c r="E8" s="22" t="str">
        <x:v>Open</x:v>
      </x:c>
    </x:row>
    <x:row r="9">
      <x:c r="A9" s="1"/>
      <x:c r="B9" s="66" t="str">
        <x:v>Openings</x:v>
      </x:c>
      <x:c r="C9" s="65" t="str">
        <x:v>Verify downflooding type, height and closure</x:v>
      </x:c>
      <x:c r="D9" s="65" t="str">
        <x:v>Opening schedule</x:v>
      </x:c>
      <x:c r="E9" s="65" t="str">
        <x:v>Open</x:v>
      </x:c>
    </x:row>
    <x:row r="10">
      <x:c r="A10" s="1"/>
      <x:c r="B10" s="67" t="str">
        <x:v>Tank calibration</x:v>
      </x:c>
      <x:c r="C10" s="22" t="str">
        <x:v>Reconcile volumes, LCG/TCG/VCG and FSM</x:v>
      </x:c>
      <x:c r="D10" s="22" t="str">
        <x:v>Tank-table comparison</x:v>
      </x:c>
      <x:c r="E10" s="22" t="str">
        <x:v>Open</x:v>
      </x:c>
    </x:row>
    <x:row r="11">
      <x:c r="A11" s="1"/>
      <x:c r="B11" s="66" t="str">
        <x:v>Lightship</x:v>
      </x:c>
      <x:c r="C11" s="65" t="str">
        <x:v>Reconcile displacement and KG to inclining test</x:v>
      </x:c>
      <x:c r="D11" s="65" t="str">
        <x:v>Approved report</x:v>
      </x:c>
      <x:c r="E11" s="65" t="str">
        <x:v>Open</x:v>
      </x:c>
    </x:row>
    <x:row r="12">
      <x:c r="A12" s="1"/>
      <x:c r="B12" s="67" t="str">
        <x:v>Damage cases</x:v>
      </x:c>
      <x:c r="C12" s="22" t="str">
        <x:v>Confirm extent, permeability and intermediate stages</x:v>
      </x:c>
      <x:c r="D12" s="22" t="str">
        <x:v>Case register / independent check</x:v>
      </x:c>
      <x:c r="E12" s="22" t="str">
        <x:v>Open</x:v>
      </x:c>
    </x:row>
    <x:row r="13">
      <x:c r="A13" s="1"/>
      <x:c r="B13" s="66" t="str">
        <x:v>Numerics</x:v>
      </x:c>
      <x:c r="C13" s="65" t="str">
        <x:v>Refine heel/trim steps around limiting events</x:v>
      </x:c>
      <x:c r="D13" s="65" t="str">
        <x:v>Convergence note</x:v>
      </x:c>
      <x:c r="E13" s="65" t="str">
        <x:v>Open</x:v>
      </x:c>
    </x:row>
    <x:row r="14">
      <x:c r="A14" s="1"/>
      <x:c r="B14" s="1"/>
      <x:c r="C14" s="1"/>
      <x:c r="D14" s="1"/>
      <x:c r="E14" s="1"/>
    </x:row>
    <x:row r="15" ht="42" customHeight="1">
      <x:c r="A15" s="1"/>
      <x:c r="B15" s="49" t="str">
        <x:v>Sources and limits: IMO SOLAS II-1 and 2008 IS Code; selected class software approval procedures.</x:v>
      </x:c>
      <x:c r="C15" s="49"/>
      <x:c r="D15" s="49"/>
      <x:c r="E15" s="49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5:E1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REFERENCE TABLES -- AUTHORITATIVE SOURCES</x:v>
      </x:c>
      <x:c r="C2" s="35"/>
      <x:c r="D2" s="35"/>
      <x:c r="E2" s="35"/>
    </x:row>
    <x:row r="3" ht="52" customHeight="1">
      <x:c r="A3" s="1"/>
      <x:c r="B3" s="39" t="str">
        <x:v>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SOURCE REGISTER</x:v>
      </x:c>
      <x:c r="C5" s="13"/>
      <x:c r="D5" s="13"/>
      <x:c r="E5" s="13"/>
    </x:row>
    <x:row r="6">
      <x:c r="A6" s="1"/>
      <x:c r="B6" s="51" t="str">
        <x:v>Instrument / source</x:v>
      </x:c>
      <x:c r="C6" s="51" t="str">
        <x:v>Issuer</x:v>
      </x:c>
      <x:c r="D6" s="51" t="str">
        <x:v>Use in this volume</x:v>
      </x:c>
      <x:c r="E6" s="51" t="str">
        <x:v>Official URL</x:v>
      </x:c>
    </x:row>
    <x:row r="7">
      <x:c r="A7" s="1"/>
      <x:c r="B7" s="66" t="str">
        <x:v>2008 IS Code, MSC.267(85)</x:v>
      </x:c>
      <x:c r="C7" s="65" t="str">
        <x:v>IMO</x:v>
      </x:c>
      <x:c r="D7" s="65" t="str">
        <x:v>Intact stability framework and general criteria</x:v>
      </x:c>
      <x:c r="E7" s="68" t="str">
        <x:v>https://wwwcdn.imo.org/localresources/en/KnowledgeCentre/IndexofIMOResolutions/MSCResolutions/MSC.267(85).pdf</x:v>
      </x:c>
    </x:row>
    <x:row r="8">
      <x:c r="A8" s="1"/>
      <x:c r="B8" s="67" t="str">
        <x:v>SOLAS chapter II-1</x:v>
      </x:c>
      <x:c r="C8" s="22" t="str">
        <x:v>IMO</x:v>
      </x:c>
      <x:c r="D8" s="22" t="str">
        <x:v>Subdivision and damage stability framework</x:v>
      </x:c>
      <x:c r="E8" s="68" t="str">
        <x:v>https://www.imo.org/en/ourwork/safety/pages/shipdesignandstability-default.aspx</x:v>
      </x:c>
    </x:row>
    <x:row r="9">
      <x:c r="A9" s="1"/>
      <x:c r="B9" s="66" t="str">
        <x:v>2008 SPS Code, MSC.266(84)</x:v>
      </x:c>
      <x:c r="C9" s="65" t="str">
        <x:v>IMO</x:v>
      </x:c>
      <x:c r="D9" s="65" t="str">
        <x:v>Special purpose ships</x:v>
      </x:c>
      <x:c r="E9" s="68" t="str">
        <x:v>https://wwwcdn.imo.org/localresources/en/KnowledgeCentre/IndexofIMOResolutions/MSCResolutions/MSC.266(84).pdf</x:v>
      </x:c>
    </x:row>
    <x:row r="10">
      <x:c r="A10" s="1"/>
      <x:c r="B10" s="67" t="str">
        <x:v>OSV Guidelines, MSC.235(82)</x:v>
      </x:c>
      <x:c r="C10" s="22" t="str">
        <x:v>IMO</x:v>
      </x:c>
      <x:c r="D10" s="22" t="str">
        <x:v>Offshore supply vessel design and damage stability</x:v>
      </x:c>
      <x:c r="E10" s="68" t="str">
        <x:v>https://wwwcdn.imo.org/localresources/en/KnowledgeCentre/IndexofIMOResolutions/MSCResolutions/MSC.235(82).pdf</x:v>
      </x:c>
    </x:row>
    <x:row r="11">
      <x:c r="A11" s="1"/>
      <x:c r="B11" s="1"/>
      <x:c r="C11" s="1"/>
      <x:c r="D11" s="1"/>
      <x:c r="E11" s="1"/>
    </x:row>
    <x:row r="12" ht="42" customHeight="1">
      <x:c r="A12" s="1"/>
      <x:c r="B12" s="49" t="str">
        <x:v>Sources and limits: URLs are recorded in plain text for audit. Always confirm amendments, flag circulars and the selected class rules at project start.</x:v>
      </x:c>
      <x:c r="C12" s="49"/>
      <x:c r="D12" s="49"/>
      <x:c r="E12" s="49"/>
    </x:row>
    <x:row r="13">
      <x:c r="A13" s="1"/>
      <x:c r="B13" s="1"/>
      <x:c r="C13" s="1"/>
      <x:c r="D13" s="1"/>
      <x:c r="E13" s="1"/>
    </x:row>
    <x:row r="14">
      <x:c r="A14" s="1"/>
      <x:c r="B14" s="1"/>
      <x:c r="C14" s="1"/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2:E12"/>
  </x:mergeCells>
  <x:pageMargins left="0.7" right="0.7" top="0.75" bottom="0.75" header="0.3" footer="0.3"/>
</x:worksheet>
</file>