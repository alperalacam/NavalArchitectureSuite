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ec655b963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10ecd762fc64949"/>
    <x:sheet xmlns:r="http://schemas.openxmlformats.org/officeDocument/2006/relationships" name="URN SPECTRUM" sheetId="2" r:id="R3ecf89bb0b96419a"/>
    <x:sheet xmlns:r="http://schemas.openxmlformats.org/officeDocument/2006/relationships" name="SOURCE PATH" sheetId="3" r:id="Re4bcf22213cf4806"/>
    <x:sheet xmlns:r="http://schemas.openxmlformats.org/officeDocument/2006/relationships" name="CAVITATION" sheetId="4" r:id="Rc4ad6e9c912743bf"/>
    <x:sheet xmlns:r="http://schemas.openxmlformats.org/officeDocument/2006/relationships" name="MEASUREMENT PLAN" sheetId="5" r:id="Rdff00b37e3ac4208"/>
    <x:sheet xmlns:r="http://schemas.openxmlformats.org/officeDocument/2006/relationships" name="MITIGATION" sheetId="6" r:id="R07bc764bde4344a0"/>
    <x:sheet xmlns:r="http://schemas.openxmlformats.org/officeDocument/2006/relationships" name="SIGNATURE QA" sheetId="7" r:id="Rb9adb84ba6f54982"/>
    <x:sheet xmlns:r="http://schemas.openxmlformats.org/officeDocument/2006/relationships" name="REFERENCE TABLES" sheetId="8" r:id="R2892d6cc280e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sz val="11"/>
      <x:color rgb="FF000000"/>
      <x:name val="Carlito"/>
    </x:font>
    <x:font>
      <x:b/>
      <x:sz val="11"/>
      <x:color rgb="FFC8960C"/>
      <x:name val="Carlito"/>
    </x:font>
    <x:font>
      <x:b/>
      <x:sz val="11"/>
      <x:color rgb="FFFFFFFF"/>
      <x:name val="Carlito"/>
    </x:font>
    <x:font>
      <x:i/>
      <x:sz val="11"/>
      <x:color rgb="FFD6E8F7"/>
      <x:name val="Carlito"/>
    </x:font>
    <x:font>
      <x:sz val="11"/>
      <x:color rgb="FFFFFFFF"/>
      <x:name val="Carlito"/>
    </x:font>
    <x:font>
      <x:b/>
      <x:sz val="11"/>
      <x:color rgb="FF1B3A6B"/>
      <x:name val="Carlito"/>
    </x:font>
    <x:font>
      <x:sz val="11"/>
      <x:color rgb="FF404040"/>
      <x:name val="Carlito"/>
    </x:font>
    <x:font>
      <x:b/>
      <x:sz val="11"/>
      <x:color rgb="FF2E6DA4"/>
      <x:name val="Carlito"/>
    </x:font>
    <x:font>
      <x:i/>
      <x:sz val="11"/>
      <x:color rgb="FFC8960C"/>
      <x:name val="Carlito"/>
    </x:font>
    <x:font>
      <x:i/>
      <x:sz val="11"/>
      <x:color rgb="FF404040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i/>
      <x:sz val="11"/>
      <x:color rgb="FF808080"/>
      <x:name val="Carlito"/>
    </x:font>
    <x:font>
      <x:i/>
      <x:sz val="11"/>
      <x:color rgb="FF777777"/>
      <x:name val="Carlito"/>
    </x:font>
    <x:font>
      <x:sz val="11"/>
      <x:color rgb="FF0563C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A1F3D"/>
      </x:patternFill>
    </x:fill>
    <x:fill>
      <x:patternFill patternType="solid">
        <x:fgColor rgb="FF2E6DA4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  <x:fill>
      <x:patternFill patternType="solid">
        <x:fgColor rgb="FFFFFFFF"/>
      </x:patternFill>
    </x:fill>
    <x:fill>
      <x:patternFill patternType="solid">
        <x:fgColor rgb="FFCFE2F3"/>
      </x:patternFill>
    </x:fill>
    <x:fill>
      <x:patternFill patternType="solid">
        <x:fgColor rgb="FF1B3A6B"/>
      </x:patternFill>
    </x:fill>
    <x:fill>
      <x:patternFill patternType="solid">
        <x:fgColor rgb="FFD6E8F7"/>
      </x:patternFill>
    </x:fill>
    <x:fill>
      <x:patternFill patternType="solid">
        <x:fgColor rgb="FFFFF3CD"/>
      </x:patternFill>
    </x:fill>
    <x:fill>
      <x:patternFill patternType="solid">
        <x:fgColor rgb="FFD9EAD3"/>
      </x:patternFill>
    </x:fill>
    <x:fill>
      <x:patternFill patternType="solid">
        <x:fgColor rgb="FFE3F2FD"/>
      </x:patternFill>
    </x:fill>
  </x:fills>
  <x:borders count="2">
    <x:border/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left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1" fillId="4" borderId="0" xfId="0" applyNumberFormat="1" applyFont="1" applyFill="1" applyBorder="1"/>
    <x:xf numFmtId="0" fontId="1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1" xfId="0" applyNumberFormat="1" applyFont="1" applyFill="1" applyBorder="1"/>
    <x:xf numFmtId="0" fontId="12" fillId="10" borderId="1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10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4dfa5070e4742" /><Relationship Type="http://schemas.openxmlformats.org/officeDocument/2006/relationships/theme" Target="/xl/theme/theme1.xml" Id="R0b4d3329a9544a41" /><Relationship Type="http://schemas.openxmlformats.org/officeDocument/2006/relationships/sharedStrings" Target="/xl/sharedStrings.xml" Id="Rd2b1754fa2054a6f" /><Relationship Type="http://schemas.openxmlformats.org/officeDocument/2006/relationships/worksheet" Target="/xl/worksheets/sheet1.xml" Id="R010ecd762fc64949" /><Relationship Type="http://schemas.openxmlformats.org/officeDocument/2006/relationships/worksheet" Target="/xl/worksheets/sheet2.xml" Id="R3ecf89bb0b96419a" /><Relationship Type="http://schemas.openxmlformats.org/officeDocument/2006/relationships/worksheet" Target="/xl/worksheets/sheet3.xml" Id="Re4bcf22213cf4806" /><Relationship Type="http://schemas.openxmlformats.org/officeDocument/2006/relationships/worksheet" Target="/xl/worksheets/sheet4.xml" Id="Rc4ad6e9c912743bf" /><Relationship Type="http://schemas.openxmlformats.org/officeDocument/2006/relationships/worksheet" Target="/xl/worksheets/sheet5.xml" Id="Rdff00b37e3ac4208" /><Relationship Type="http://schemas.openxmlformats.org/officeDocument/2006/relationships/worksheet" Target="/xl/worksheets/sheet6.xml" Id="R07bc764bde4344a0" /><Relationship Type="http://schemas.openxmlformats.org/officeDocument/2006/relationships/worksheet" Target="/xl/worksheets/sheet7.xml" Id="Rb9adb84ba6f54982" /><Relationship Type="http://schemas.openxmlformats.org/officeDocument/2006/relationships/worksheet" Target="/xl/worksheets/sheet8.xml" Id="R2892d6cc280e4f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2"/>
      <x:c r="C2" s="2"/>
      <x:c r="D2" s="2"/>
      <x:c r="E2" s="2"/>
    </x:row>
    <x:row r="3">
      <x:c r="A3" s="1"/>
      <x:c r="B3" s="4" t="str">
        <x:v>NAVAL ARCHITECTURE</x:v>
      </x:c>
      <x:c r="C3" s="4"/>
      <x:c r="D3" s="4"/>
      <x:c r="E3" s="4"/>
    </x:row>
    <x:row r="4">
      <x:c r="A4" s="1"/>
      <x:c r="B4" s="6" t="str">
        <x:v>TEACHING TOOLKIT</x:v>
      </x:c>
      <x:c r="C4" s="6"/>
      <x:c r="D4" s="6"/>
      <x:c r="E4" s="6"/>
    </x:row>
    <x:row r="5">
      <x:c r="A5" s="1"/>
      <x:c r="B5" s="4" t="str">
        <x:v>VOLUME 33 :  Underwater Noise and Signatures</x:v>
      </x:c>
      <x:c r="C5" s="4"/>
      <x:c r="D5" s="4"/>
      <x:c r="E5" s="4"/>
    </x:row>
    <x:row r="6">
      <x:c r="A6" s="1"/>
      <x:c r="B6" s="8" t="str">
        <x:v>URN Sources. Measurement. Normalization. Mitigation. Verification.</x:v>
      </x:c>
      <x:c r="C6" s="8"/>
      <x:c r="D6" s="8"/>
      <x:c r="E6" s="8"/>
    </x:row>
    <x:row r="7">
      <x:c r="A7" s="1"/>
      <x:c r="B7" s="2"/>
      <x:c r="C7" s="2"/>
      <x:c r="D7" s="2"/>
      <x:c r="E7" s="2"/>
    </x:row>
    <x:row r="8">
      <x:c r="A8" s="1"/>
      <x:c r="B8" s="10" t="str">
        <x:v>Alper Alacam  |  Naval Architect and Marine Engineer  |  Turkiye  |  2026</x:v>
      </x:c>
      <x:c r="C8" s="10"/>
      <x:c r="D8" s="10"/>
      <x:c r="E8" s="10"/>
    </x:row>
    <x:row r="9">
      <x:c r="A9" s="1"/>
      <x:c r="B9" s="2"/>
      <x:c r="C9" s="2"/>
      <x:c r="D9" s="2"/>
      <x:c r="E9" s="2"/>
    </x:row>
    <x:row r="10">
      <x:c r="A10" s="1"/>
      <x:c r="B10" s="13" t="str">
        <x:v>ABOUT THIS VOLUME</x:v>
      </x:c>
      <x:c r="C10" s="13"/>
      <x:c r="D10" s="13"/>
      <x:c r="E10" s="13"/>
    </x:row>
    <x:row r="11" ht="58" customHeight="1">
      <x:c r="A11" s="1"/>
      <x:c r="B11" s="15" t="str">
        <x:v>Why this topic matters</x:v>
      </x:c>
      <x:c r="C11" s="17" t="str">
        <x:v>Underwater radiated noise affects marine life, contractual signatures and vessel detectability. Meaningful comparison requires controlled operating conditions, calibrated measurement and explicit processing.</x:v>
      </x:c>
      <x:c r="D11" s="1"/>
      <x:c r="E11" s="1"/>
    </x:row>
    <x:row r="12" ht="58" customHeight="1">
      <x:c r="A12" s="1"/>
      <x:c r="B12" s="15" t="str">
        <x:v>What this volume covers</x:v>
      </x:c>
      <x:c r="C12" s="17" t="str">
        <x:v>One-third-octave data handling; distance normalization screening; energetic summation; source-path-receiver model; cavitation and machinery controls; measurement and mitigation plans.</x:v>
      </x:c>
      <x:c r="D12" s="1"/>
      <x:c r="E12" s="1"/>
    </x:row>
    <x:row r="13" ht="58" customHeight="1">
      <x:c r="A13" s="1"/>
      <x:c r="B13" s="15" t="str">
        <x:v>Verification boundary</x:v>
      </x:c>
      <x:c r="C13" s="17" t="str">
        <x:v>The acoustic calculator is a free-field screening demonstration. ISO 17208 procedures, site corrections, Lloyd’s mirror, propagation, background noise and uncertainty require competent specialist treatment.</x:v>
      </x:c>
      <x:c r="D13" s="1"/>
      <x:c r="E13" s="1"/>
    </x:row>
    <x:row r="14" ht="58" customHeight="1">
      <x:c r="A14" s="1"/>
      <x:c r="B14" s="15" t="str">
        <x:v>Primary references</x:v>
      </x:c>
      <x:c r="C14" s="17" t="str">
        <x:v>IMO MEPC.1/Circ.906; ISO 17208-1:2016 with Amendment 1:2024.</x:v>
      </x:c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3" t="str">
        <x:v>WORKSHEET INDEX</x:v>
      </x:c>
      <x:c r="C16" s="13"/>
      <x:c r="D16" s="13"/>
      <x:c r="E16" s="13"/>
    </x:row>
    <x:row r="17">
      <x:c r="A17" s="1"/>
      <x:c r="B17" s="20" t="str">
        <x:v>No.</x:v>
      </x:c>
      <x:c r="C17" s="20" t="str">
        <x:v>Sheet</x:v>
      </x:c>
      <x:c r="D17" s="20" t="str">
        <x:v>Contents</x:v>
      </x:c>
      <x:c r="E17" s="1"/>
    </x:row>
    <x:row r="18">
      <x:c r="A18" s="1"/>
      <x:c r="B18" s="27" t="str">
        <x:v>1</x:v>
      </x:c>
      <x:c r="C18" s="29" t="str">
        <x:v>COVER</x:v>
      </x:c>
      <x:c r="D18" s="22" t="str">
        <x:v>Scope, references and verification boundary</x:v>
      </x:c>
      <x:c r="E18" s="1"/>
    </x:row>
    <x:row r="19">
      <x:c r="A19" s="1"/>
      <x:c r="B19" s="28" t="str">
        <x:v>2</x:v>
      </x:c>
      <x:c r="C19" s="30" t="str">
        <x:v>URN SPECTRUM</x:v>
      </x:c>
      <x:c r="D19" s="24" t="str">
        <x:v>Distance normalization and energetic sum</x:v>
      </x:c>
      <x:c r="E19" s="1"/>
    </x:row>
    <x:row r="20">
      <x:c r="A20" s="1"/>
      <x:c r="B20" s="27" t="str">
        <x:v>3</x:v>
      </x:c>
      <x:c r="C20" s="29" t="str">
        <x:v>SOURCE PATH</x:v>
      </x:c>
      <x:c r="D20" s="22" t="str">
        <x:v>Source-path-receiver register</x:v>
      </x:c>
      <x:c r="E20" s="1"/>
    </x:row>
    <x:row r="21">
      <x:c r="A21" s="1"/>
      <x:c r="B21" s="28" t="str">
        <x:v>4</x:v>
      </x:c>
      <x:c r="C21" s="30" t="str">
        <x:v>CAVITATION</x:v>
      </x:c>
      <x:c r="D21" s="24" t="str">
        <x:v>Cavitation risk and evidence checklist</x:v>
      </x:c>
      <x:c r="E21" s="1"/>
    </x:row>
    <x:row r="22">
      <x:c r="A22" s="1"/>
      <x:c r="B22" s="27" t="str">
        <x:v>5</x:v>
      </x:c>
      <x:c r="C22" s="29" t="str">
        <x:v>MEASUREMENT PLAN</x:v>
      </x:c>
      <x:c r="D22" s="22" t="str">
        <x:v>ISO-aligned test planning checklist</x:v>
      </x:c>
      <x:c r="E22" s="1"/>
    </x:row>
    <x:row r="23">
      <x:c r="A23" s="1"/>
      <x:c r="B23" s="28" t="str">
        <x:v>6</x:v>
      </x:c>
      <x:c r="C23" s="30" t="str">
        <x:v>MITIGATION</x:v>
      </x:c>
      <x:c r="D23" s="24" t="str">
        <x:v>Design and operational measure register</x:v>
      </x:c>
      <x:c r="E23" s="1"/>
    </x:row>
    <x:row r="24">
      <x:c r="A24" s="1"/>
      <x:c r="B24" s="27" t="str">
        <x:v>7</x:v>
      </x:c>
      <x:c r="C24" s="29" t="str">
        <x:v>SIGNATURE QA</x:v>
      </x:c>
      <x:c r="D24" s="22" t="str">
        <x:v>Claims and uncertainty checklist</x:v>
      </x:c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32" t="str">
        <x:v>© 2026 Alper Alacam Naval Architecture . All rights reserved.</x:v>
      </x:c>
      <x:c r="C31" s="32"/>
      <x:c r="D31" s="32"/>
      <x:c r="E31" s="32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3:E3"/>
    <x:mergeCell ref="B4:E4"/>
    <x:mergeCell ref="B5:E5"/>
    <x:mergeCell ref="B6:E6"/>
    <x:mergeCell ref="B8:E8"/>
    <x:mergeCell ref="B10:E10"/>
    <x:mergeCell ref="B16:E16"/>
    <x:mergeCell ref="B31:E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URN SPECTRUM -- DISTANCE NORMALIZATION SCREEN</x:v>
      </x:c>
      <x:c r="C2" s="35"/>
      <x:c r="D2" s="35"/>
      <x:c r="E2" s="35"/>
    </x:row>
    <x:row r="3" ht="52" customHeight="1">
      <x:c r="A3" s="1"/>
      <x:c r="B3" s="39" t="str">
        <x:v>Free-field normalization shown: L(1 m) = L(r) + 20 log10(r/1 m). Use ISO procedure for compliant reporting.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INPUTS</x:v>
      </x:c>
      <x:c r="C5" s="13"/>
      <x:c r="D5" s="13"/>
      <x:c r="E5" s="13"/>
    </x:row>
    <x:row r="6">
      <x:c r="A6" s="1"/>
      <x:c r="B6" s="41" t="str">
        <x:v>Parameter</x:v>
      </x:c>
      <x:c r="C6" s="41" t="str">
        <x:v>Value</x:v>
      </x:c>
      <x:c r="D6" s="41" t="str">
        <x:v>Unit</x:v>
      </x:c>
      <x:c r="E6" s="41" t="str">
        <x:v>Explanation / source</x:v>
      </x:c>
    </x:row>
    <x:row r="7" ht="34" customHeight="1">
      <x:c r="A7" s="1"/>
      <x:c r="B7" s="42" t="str">
        <x:v>Measurement range r</x:v>
      </x:c>
      <x:c r="C7" s="46" t="n">
        <x:v>100</x:v>
      </x:c>
      <x:c r="D7" s="48" t="str">
        <x:v>m</x:v>
      </x:c>
      <x:c r="E7" s="38" t="str">
        <x:v>Slant range used for this simple screen.</x:v>
      </x:c>
    </x:row>
    <x:row r="8" ht="34" customHeight="1">
      <x:c r="A8" s="1"/>
      <x:c r="B8" s="42" t="str">
        <x:v>Reference range</x:v>
      </x:c>
      <x:c r="C8" s="46" t="n">
        <x:v>1</x:v>
      </x:c>
      <x:c r="D8" s="48" t="str">
        <x:v>m</x:v>
      </x:c>
      <x:c r="E8" s="38" t="str">
        <x:v>Normalization reference.</x:v>
      </x:c>
    </x:row>
    <x:row r="9" ht="34" customHeight="1">
      <x:c r="A9" s="1"/>
      <x:c r="B9" s="42" t="str">
        <x:v>Background margin requirement</x:v>
      </x:c>
      <x:c r="C9" s="46" t="n">
        <x:v>3</x:v>
      </x:c>
      <x:c r="D9" s="48" t="str">
        <x:v>dB</x:v>
      </x:c>
      <x:c r="E9" s="38" t="str">
        <x:v>Project input; ISO method governs treatment.</x:v>
      </x:c>
    </x:row>
    <x:row r="10">
      <x:c r="A10" s="1"/>
      <x:c r="B10" s="1"/>
      <x:c r="C10" s="1"/>
      <x:c r="D10" s="1"/>
      <x:c r="E10" s="1"/>
    </x:row>
    <x:row r="11">
      <x:c r="A11" s="1"/>
      <x:c r="B11" s="1"/>
      <x:c r="C11" s="1"/>
      <x:c r="D11" s="1"/>
      <x:c r="E11" s="1"/>
    </x:row>
    <x:row r="12">
      <x:c r="A12" s="1"/>
      <x:c r="B12" s="41" t="str">
        <x:v>Band centre (Hz)</x:v>
      </x:c>
      <x:c r="C12" s="41" t="str">
        <x:v>Measured SPL (dB re 1 μPa)</x:v>
      </x:c>
      <x:c r="D12" s="41" t="str">
        <x:v>Normalized level (dB)</x:v>
      </x:c>
      <x:c r="E12" s="41" t="str">
        <x:v>Linear energy</x:v>
      </x:c>
      <x:c r="F12" s="41" t="str">
        <x:v>Background SPL (dB)</x:v>
      </x:c>
    </x:row>
    <x:row r="13">
      <x:c r="A13" s="1"/>
      <x:c r="B13" s="1" t="n">
        <x:v>31.5</x:v>
      </x:c>
      <x:c r="C13" s="44" t="n">
        <x:v>128</x:v>
      </x:c>
      <x:c r="D13" s="51" t="n">
        <x:f>C13+20*LOG10($C$7/$C$8)</x:f>
        <x:v>168</x:v>
      </x:c>
      <x:c r="E13" s="51" t="n">
        <x:f>10^(D13/10)</x:f>
        <x:v>63095734448019430</x:v>
      </x:c>
      <x:c r="F13" s="44" t="n">
        <x:v>105</x:v>
      </x:c>
    </x:row>
    <x:row r="14">
      <x:c r="A14" s="1"/>
      <x:c r="B14" s="1" t="n">
        <x:v>63</x:v>
      </x:c>
      <x:c r="C14" s="44" t="n">
        <x:v>132</x:v>
      </x:c>
      <x:c r="D14" s="51" t="n">
        <x:f>C14+20*LOG10($C$7/$C$8)</x:f>
        <x:v>172</x:v>
      </x:c>
      <x:c r="E14" s="51" t="n">
        <x:f>10^(D14/10)</x:f>
        <x:v>158489319246111100</x:v>
      </x:c>
      <x:c r="F14" s="44" t="n">
        <x:v>108</x:v>
      </x:c>
    </x:row>
    <x:row r="15">
      <x:c r="A15" s="1"/>
      <x:c r="B15" s="1" t="n">
        <x:v>125</x:v>
      </x:c>
      <x:c r="C15" s="44" t="n">
        <x:v>136</x:v>
      </x:c>
      <x:c r="D15" s="51" t="n">
        <x:f>C15+20*LOG10($C$7/$C$8)</x:f>
        <x:v>176</x:v>
      </x:c>
      <x:c r="E15" s="51" t="n">
        <x:f>10^(D15/10)</x:f>
        <x:v>398107170553498560</x:v>
      </x:c>
      <x:c r="F15" s="44" t="n">
        <x:v>110</x:v>
      </x:c>
    </x:row>
    <x:row r="16">
      <x:c r="A16" s="1"/>
      <x:c r="B16" s="1" t="n">
        <x:v>250</x:v>
      </x:c>
      <x:c r="C16" s="44" t="n">
        <x:v>140</x:v>
      </x:c>
      <x:c r="D16" s="51" t="n">
        <x:f>C16+20*LOG10($C$7/$C$8)</x:f>
        <x:v>180</x:v>
      </x:c>
      <x:c r="E16" s="51" t="n">
        <x:f>10^(D16/10)</x:f>
        <x:v>1000000000000000000</x:v>
      </x:c>
      <x:c r="F16" s="44" t="n">
        <x:v>112</x:v>
      </x:c>
    </x:row>
    <x:row r="17">
      <x:c r="A17" s="1"/>
      <x:c r="B17" s="1" t="n">
        <x:v>500</x:v>
      </x:c>
      <x:c r="C17" s="44" t="n">
        <x:v>139</x:v>
      </x:c>
      <x:c r="D17" s="51" t="n">
        <x:f>C17+20*LOG10($C$7/$C$8)</x:f>
        <x:v>179</x:v>
      </x:c>
      <x:c r="E17" s="51" t="n">
        <x:f>10^(D17/10)</x:f>
        <x:v>794328234724278900</x:v>
      </x:c>
      <x:c r="F17" s="44" t="n">
        <x:v>113</x:v>
      </x:c>
    </x:row>
    <x:row r="18">
      <x:c r="A18" s="1"/>
      <x:c r="B18" s="1" t="n">
        <x:v>1000</x:v>
      </x:c>
      <x:c r="C18" s="44" t="n">
        <x:v>135</x:v>
      </x:c>
      <x:c r="D18" s="51" t="n">
        <x:f>C18+20*LOG10($C$7/$C$8)</x:f>
        <x:v>175</x:v>
      </x:c>
      <x:c r="E18" s="51" t="n">
        <x:f>10^(D18/10)</x:f>
        <x:v>316227766016837950</x:v>
      </x:c>
      <x:c r="F18" s="44" t="n">
        <x:v>112</x:v>
      </x:c>
    </x:row>
    <x:row r="19">
      <x:c r="A19" s="1"/>
      <x:c r="B19" s="1" t="n">
        <x:v>2000</x:v>
      </x:c>
      <x:c r="C19" s="44" t="n">
        <x:v>130</x:v>
      </x:c>
      <x:c r="D19" s="51" t="n">
        <x:f>C19+20*LOG10($C$7/$C$8)</x:f>
        <x:v>170</x:v>
      </x:c>
      <x:c r="E19" s="51" t="n">
        <x:f>10^(D19/10)</x:f>
        <x:v>100000000000000000</x:v>
      </x:c>
      <x:c r="F19" s="44" t="n">
        <x:v>110</x:v>
      </x:c>
    </x:row>
    <x:row r="20">
      <x:c r="A20" s="1"/>
      <x:c r="B20" s="1" t="n">
        <x:v>4000</x:v>
      </x:c>
      <x:c r="C20" s="44" t="n">
        <x:v>126</x:v>
      </x:c>
      <x:c r="D20" s="51" t="n">
        <x:f>C20+20*LOG10($C$7/$C$8)</x:f>
        <x:v>166</x:v>
      </x:c>
      <x:c r="E20" s="51" t="n">
        <x:f>10^(D20/10)</x:f>
        <x:v>39810717055349860</x:v>
      </x:c>
      <x:c r="F20" s="44" t="n">
        <x:v>108</x:v>
      </x:c>
    </x:row>
    <x:row r="21">
      <x:c r="A21" s="1"/>
      <x:c r="B21" s="1"/>
      <x:c r="C21" s="1"/>
      <x:c r="D21" s="1"/>
      <x:c r="E21" s="1"/>
    </x:row>
    <x:row r="22">
      <x:c r="A22" s="1"/>
      <x:c r="B22" s="52" t="str">
        <x:v>Broadband normalized level</x:v>
      </x:c>
      <x:c r="C22" s="52" t="n">
        <x:f>10*LOG10(SUM(E13:E20))</x:f>
        <x:v>184.57890815877397</x:v>
      </x:c>
      <x:c r="D22" s="52" t="str">
        <x:v>dB</x:v>
      </x:c>
      <x:c r="E22" s="52" t="str">
        <x:v>Energetic sum of displayed normalized bands.</x:v>
      </x:c>
    </x:row>
    <x:row r="23">
      <x:c r="A23" s="1"/>
      <x:c r="B23" s="52" t="str">
        <x:v>Minimum signal-background margin</x:v>
      </x:c>
      <x:c r="C23" s="52" t="n">
        <x:f>MIN(C13-F13,C14-F14,C15-F15,C16-F16,C17-F17,C18-F18,C19-F19,C20-F20)</x:f>
        <x:v>18</x:v>
      </x:c>
      <x:c r="D23" s="52" t="str">
        <x:v>dB</x:v>
      </x:c>
      <x:c r="E23" s="52" t="str">
        <x:v>Minimum displayed band margin.</x:v>
      </x:c>
    </x:row>
    <x:row r="24">
      <x:c r="A24" s="1"/>
      <x:c r="B24" s="52" t="str">
        <x:v>Screen status</x:v>
      </x:c>
      <x:c r="C24" s="52" t="str">
        <x:f>IF(C23&gt;=C9,"MARGIN SCREEN PASS","BACKGROUND REVIEW")</x:f>
        <x:v>MARGIN SCREEN PASS</x:v>
      </x:c>
      <x:c r="D24" s="52" t="str"/>
      <x:c r="E24" s="52" t="str">
        <x:v>Background criterion is a project screen only.</x:v>
      </x:c>
    </x:row>
    <x:row r="25">
      <x:c r="A25" s="1"/>
      <x:c r="B25" s="1"/>
      <x:c r="C25" s="1"/>
      <x:c r="D25" s="1"/>
      <x:c r="E25" s="1"/>
    </x:row>
    <x:row r="26" ht="42" customHeight="1">
      <x:c r="A26" s="1"/>
      <x:c r="B26" s="54" t="str">
        <x:v>Sources and limits: ISO 17208-1:2016 + Amd 1:2024 and IMO MEPC.1/Circ.906. This simple distance law is not the complete ISO processing chain.</x:v>
      </x:c>
      <x:c r="C26" s="54"/>
      <x:c r="D26" s="54"/>
      <x:c r="E26" s="54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26:E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SOURCE-PATH-RECEIVER -- DIAGNOSTIC FRAMEWORK</x:v>
      </x:c>
      <x:c r="C2" s="35"/>
      <x:c r="D2" s="35"/>
      <x:c r="E2" s="35"/>
    </x:row>
    <x:row r="3" ht="52" customHeight="1">
      <x:c r="A3" s="1"/>
      <x:c r="B3" s="39" t="str">
        <x:v>Mitigation is most effective when tied to a verified source and transmission path.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Source</x:v>
      </x:c>
      <x:c r="C6" s="41" t="str">
        <x:v>Dominant mechanism</x:v>
      </x:c>
      <x:c r="D6" s="41" t="str">
        <x:v>Transmission path</x:v>
      </x:c>
      <x:c r="E6" s="41" t="str">
        <x:v>Diagnostic evidence</x:v>
      </x:c>
    </x:row>
    <x:row r="7">
      <x:c r="A7" s="1"/>
      <x:c r="B7" s="57" t="str">
        <x:v>Propeller</x:v>
      </x:c>
      <x:c r="C7" s="56" t="str">
        <x:v>Cavitation and unsteady loading</x:v>
      </x:c>
      <x:c r="D7" s="56" t="str">
        <x:v>Direct water radiation / hull pressure</x:v>
      </x:c>
      <x:c r="E7" s="56" t="str">
        <x:v>Cavitation observation, pressure pulses, spectrum</x:v>
      </x:c>
    </x:row>
    <x:row r="8">
      <x:c r="A8" s="1"/>
      <x:c r="B8" s="58" t="str">
        <x:v>Main engine</x:v>
      </x:c>
      <x:c r="C8" s="22" t="str">
        <x:v>Combustion and mechanical orders</x:v>
      </x:c>
      <x:c r="D8" s="22" t="str">
        <x:v>Foundations to hull shell</x:v>
      </x:c>
      <x:c r="E8" s="22" t="str">
        <x:v>Order tracking / transfer mobility</x:v>
      </x:c>
    </x:row>
    <x:row r="9">
      <x:c r="A9" s="1"/>
      <x:c r="B9" s="57" t="str">
        <x:v>Gearbox</x:v>
      </x:c>
      <x:c r="C9" s="56" t="str">
        <x:v>Gear mesh and bearing tones</x:v>
      </x:c>
      <x:c r="D9" s="56" t="str">
        <x:v>Structure-borne through seating</x:v>
      </x:c>
      <x:c r="E9" s="56" t="str">
        <x:v>Narrowband tonal analysis</x:v>
      </x:c>
    </x:row>
    <x:row r="10">
      <x:c r="A10" s="1"/>
      <x:c r="B10" s="58" t="str">
        <x:v>Pumps / auxiliaries</x:v>
      </x:c>
      <x:c r="C10" s="22" t="str">
        <x:v>Hydraulic and rotating forces</x:v>
      </x:c>
      <x:c r="D10" s="22" t="str">
        <x:v>Pipework and foundations</x:v>
      </x:c>
      <x:c r="E10" s="22" t="str">
        <x:v>Run-up / on-off correlation</x:v>
      </x:c>
    </x:row>
    <x:row r="11">
      <x:c r="A11" s="1"/>
      <x:c r="B11" s="57" t="str">
        <x:v>Flow</x:v>
      </x:c>
      <x:c r="C11" s="56" t="str">
        <x:v>Appendages, openings, turbulence</x:v>
      </x:c>
      <x:c r="D11" s="56" t="str">
        <x:v>Direct hydrodynamic pressure</x:v>
      </x:c>
      <x:c r="E11" s="56" t="str">
        <x:v>Speed scaling / CFD / inspection</x:v>
      </x:c>
    </x:row>
    <x:row r="12">
      <x:c r="A12" s="1"/>
      <x:c r="B12" s="58" t="str">
        <x:v>Electrical drive</x:v>
      </x:c>
      <x:c r="C12" s="22" t="str">
        <x:v>Electromagnetic and switching tones</x:v>
      </x:c>
      <x:c r="D12" s="22" t="str">
        <x:v>Mounts, cables, structure</x:v>
      </x:c>
      <x:c r="E12" s="22" t="str">
        <x:v>Order/switching-frequency correlation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54" t="str">
        <x:v>Sources and limits: IMO MEPC.1/Circ.906 diagnostic and mitigation framework; specialist acoustic analysis.</x:v>
      </x:c>
      <x:c r="C14" s="54"/>
      <x:c r="D14" s="54"/>
      <x:c r="E14" s="54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CAVITATION -- CONTROL REGISTER</x:v>
      </x:c>
      <x:c r="C2" s="35"/>
      <x:c r="D2" s="35"/>
      <x:c r="E2" s="35"/>
    </x:row>
    <x:row r="3" ht="52" customHeight="1">
      <x:c r="A3" s="1"/>
      <x:c r="B3" s="39" t="str">
        <x:v>Cavitation inception and extent depend on local inflow, loading, pressure and surface condition.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Driver</x:v>
      </x:c>
      <x:c r="C6" s="41" t="str">
        <x:v>Evidence</x:v>
      </x:c>
      <x:c r="D6" s="41" t="str">
        <x:v>Design/operational control</x:v>
      </x:c>
      <x:c r="E6" s="41" t="str">
        <x:v>Verification</x:v>
      </x:c>
    </x:row>
    <x:row r="7">
      <x:c r="A7" s="1"/>
      <x:c r="B7" s="57" t="str">
        <x:v>Wake non-uniformity</x:v>
      </x:c>
      <x:c r="C7" s="56" t="str">
        <x:v>Wake survey or validated CFD</x:v>
      </x:c>
      <x:c r="D7" s="56" t="str">
        <x:v>Hull/appendage/wake optimization</x:v>
      </x:c>
      <x:c r="E7" s="56" t="str">
        <x:v>Model test / full-scale correlation</x:v>
      </x:c>
    </x:row>
    <x:row r="8">
      <x:c r="A8" s="1"/>
      <x:c r="B8" s="58" t="str">
        <x:v>Propeller loading</x:v>
      </x:c>
      <x:c r="C8" s="22" t="str">
        <x:v>Thrust, RPM, blade loading</x:v>
      </x:c>
      <x:c r="D8" s="22" t="str">
        <x:v>Diameter, area ratio, skew, RPM strategy</x:v>
      </x:c>
      <x:c r="E8" s="22" t="str">
        <x:v>Cavitation tunnel / validated method</x:v>
      </x:c>
    </x:row>
    <x:row r="9">
      <x:c r="A9" s="1"/>
      <x:c r="B9" s="57" t="str">
        <x:v>Tip clearance</x:v>
      </x:c>
      <x:c r="C9" s="56" t="str">
        <x:v>Geometry and pressure pulses</x:v>
      </x:c>
      <x:c r="D9" s="56" t="str">
        <x:v>Increase clearance / reduce local loading</x:v>
      </x:c>
      <x:c r="E9" s="56" t="str">
        <x:v>Drawing and test evidence</x:v>
      </x:c>
    </x:row>
    <x:row r="10">
      <x:c r="A10" s="1"/>
      <x:c r="B10" s="58" t="str">
        <x:v>Surface condition</x:v>
      </x:c>
      <x:c r="C10" s="22" t="str">
        <x:v>Roughness, fouling, damage</x:v>
      </x:c>
      <x:c r="D10" s="22" t="str">
        <x:v>Finish and maintenance standard</x:v>
      </x:c>
      <x:c r="E10" s="22" t="str">
        <x:v>Inspection</x:v>
      </x:c>
    </x:row>
    <x:row r="11">
      <x:c r="A11" s="1"/>
      <x:c r="B11" s="57" t="str">
        <x:v>Air ingestion</x:v>
      </x:c>
      <x:c r="C11" s="56" t="str">
        <x:v>Sea state and stern emergence</x:v>
      </x:c>
      <x:c r="D11" s="56" t="str">
        <x:v>Draft/trim/operating limit</x:v>
      </x:c>
      <x:c r="E11" s="56" t="str">
        <x:v>Trials across conditions</x:v>
      </x:c>
    </x:row>
    <x:row r="12">
      <x:c r="A12" s="1"/>
      <x:c r="B12" s="58" t="str">
        <x:v>Off-design operation</x:v>
      </x:c>
      <x:c r="C12" s="22" t="str">
        <x:v>Low pitch/high RPM, manoeuvring</x:v>
      </x:c>
      <x:c r="D12" s="22" t="str">
        <x:v>Control logic and operating guidance</x:v>
      </x:c>
      <x:c r="E12" s="22" t="str">
        <x:v>Sea trial matrix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54" t="str">
        <x:v>Sources and limits: IMO MEPC.1/Circ.906; project propeller design and test reports.</x:v>
      </x:c>
      <x:c r="C14" s="54"/>
      <x:c r="D14" s="54"/>
      <x:c r="E14" s="54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MEASUREMENT PLAN -- TRACEABLE DATA</x:v>
      </x:c>
      <x:c r="C2" s="35"/>
      <x:c r="D2" s="35"/>
      <x:c r="E2" s="35"/>
    </x:row>
    <x:row r="3" ht="52" customHeight="1">
      <x:c r="A3" s="1"/>
      <x:c r="B3" s="39" t="str">
        <x:v>Do not compare spectra unless operating state, geometry, processing and uncertainty are documented.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Item</x:v>
      </x:c>
      <x:c r="C6" s="41" t="str">
        <x:v>Record</x:v>
      </x:c>
      <x:c r="D6" s="41" t="str">
        <x:v>Reason</x:v>
      </x:c>
      <x:c r="E6" s="41" t="str">
        <x:v>Status</x:v>
      </x:c>
    </x:row>
    <x:row r="7">
      <x:c r="A7" s="1"/>
      <x:c r="B7" s="57" t="str">
        <x:v>Vessel condition</x:v>
      </x:c>
      <x:c r="C7" s="56" t="str">
        <x:v>Draft, trim, displacement, machinery line-up</x:v>
      </x:c>
      <x:c r="D7" s="56" t="str">
        <x:v>Defines source state</x:v>
      </x:c>
      <x:c r="E7" s="56" t="str">
        <x:v>Open</x:v>
      </x:c>
    </x:row>
    <x:row r="8">
      <x:c r="A8" s="1"/>
      <x:c r="B8" s="58" t="str">
        <x:v>Operating point</x:v>
      </x:c>
      <x:c r="C8" s="22" t="str">
        <x:v>Speed through water, RPM, power, pitch</x:v>
      </x:c>
      <x:c r="D8" s="22" t="str">
        <x:v>Noise strongly depends on operating point</x:v>
      </x:c>
      <x:c r="E8" s="22" t="str">
        <x:v>Open</x:v>
      </x:c>
    </x:row>
    <x:row r="9">
      <x:c r="A9" s="1"/>
      <x:c r="B9" s="57" t="str">
        <x:v>Site</x:v>
      </x:c>
      <x:c r="C9" s="56" t="str">
        <x:v>Depth, bathymetry, sound-speed profile, sea state</x:v>
      </x:c>
      <x:c r="D9" s="56" t="str">
        <x:v>Propagation and reflections</x:v>
      </x:c>
      <x:c r="E9" s="56" t="str">
        <x:v>Open</x:v>
      </x:c>
    </x:row>
    <x:row r="10">
      <x:c r="A10" s="1"/>
      <x:c r="B10" s="58" t="str">
        <x:v>Geometry</x:v>
      </x:c>
      <x:c r="C10" s="22" t="str">
        <x:v>CPA, hydrophone depth and track</x:v>
      </x:c>
      <x:c r="D10" s="22" t="str">
        <x:v>Normalization and averaging</x:v>
      </x:c>
      <x:c r="E10" s="22" t="str">
        <x:v>Open</x:v>
      </x:c>
    </x:row>
    <x:row r="11">
      <x:c r="A11" s="1"/>
      <x:c r="B11" s="57" t="str">
        <x:v>Instrumentation</x:v>
      </x:c>
      <x:c r="C11" s="56" t="str">
        <x:v>Calibration, sensitivity, bandwidth, sampling</x:v>
      </x:c>
      <x:c r="D11" s="56" t="str">
        <x:v>Traceability</x:v>
      </x:c>
      <x:c r="E11" s="56" t="str">
        <x:v>Open</x:v>
      </x:c>
    </x:row>
    <x:row r="12">
      <x:c r="A12" s="1"/>
      <x:c r="B12" s="58" t="str">
        <x:v>Background</x:v>
      </x:c>
      <x:c r="C12" s="22" t="str">
        <x:v>Pre/post ambient measurements</x:v>
      </x:c>
      <x:c r="D12" s="22" t="str">
        <x:v>Signal-to-noise assessment</x:v>
      </x:c>
      <x:c r="E12" s="22" t="str">
        <x:v>Open</x:v>
      </x:c>
    </x:row>
    <x:row r="13">
      <x:c r="A13" s="1"/>
      <x:c r="B13" s="57" t="str">
        <x:v>Processing</x:v>
      </x:c>
      <x:c r="C13" s="56" t="str">
        <x:v>Windowing, bands, averaging, corrections</x:v>
      </x:c>
      <x:c r="D13" s="56" t="str">
        <x:v>Reproducibility</x:v>
      </x:c>
      <x:c r="E13" s="56" t="str">
        <x:v>Open</x:v>
      </x:c>
    </x:row>
    <x:row r="14">
      <x:c r="A14" s="1"/>
      <x:c r="B14" s="58" t="str">
        <x:v>Uncertainty</x:v>
      </x:c>
      <x:c r="C14" s="22" t="str">
        <x:v>Contributors and combined result</x:v>
      </x:c>
      <x:c r="D14" s="22" t="str">
        <x:v>Decision confidence</x:v>
      </x:c>
      <x:c r="E14" s="22" t="str">
        <x:v>Open</x:v>
      </x:c>
    </x:row>
    <x:row r="15">
      <x:c r="A15" s="1"/>
      <x:c r="B15" s="1"/>
      <x:c r="C15" s="1"/>
      <x:c r="D15" s="1"/>
      <x:c r="E15" s="1"/>
    </x:row>
    <x:row r="16" ht="42" customHeight="1">
      <x:c r="A16" s="1"/>
      <x:c r="B16" s="54" t="str">
        <x:v>Sources and limits: ISO 17208-1 scope and method; use the full purchased standard for compliance.</x:v>
      </x:c>
      <x:c r="C16" s="54"/>
      <x:c r="D16" s="54"/>
      <x:c r="E16" s="54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6:E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MITIGATION -- OPTIONS AND TRADE-OFFS</x:v>
      </x:c>
      <x:c r="C2" s="35"/>
      <x:c r="D2" s="35"/>
      <x:c r="E2" s="35"/>
    </x:row>
    <x:row r="3" ht="52" customHeight="1">
      <x:c r="A3" s="1"/>
      <x:c r="B3" s="39" t="str">
        <x:v>Select measures through source diagnosis and verify that safety, efficiency and durability are not impaired.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Measure</x:v>
      </x:c>
      <x:c r="C6" s="41" t="str">
        <x:v>Target</x:v>
      </x:c>
      <x:c r="D6" s="41" t="str">
        <x:v>Trade-off / dependency</x:v>
      </x:c>
      <x:c r="E6" s="41" t="str">
        <x:v>Verification</x:v>
      </x:c>
    </x:row>
    <x:row r="7">
      <x:c r="A7" s="1"/>
      <x:c r="B7" s="57" t="str">
        <x:v>Propeller/wake optimization</x:v>
      </x:c>
      <x:c r="C7" s="56" t="str">
        <x:v>Cavitation and pressure pulses</x:v>
      </x:c>
      <x:c r="D7" s="56" t="str">
        <x:v>Efficiency, clearance, structural loads</x:v>
      </x:c>
      <x:c r="E7" s="56" t="str">
        <x:v>Model test / CFD / trials</x:v>
      </x:c>
    </x:row>
    <x:row r="8">
      <x:c r="A8" s="1"/>
      <x:c r="B8" s="58" t="str">
        <x:v>Resilient mounting</x:v>
      </x:c>
      <x:c r="C8" s="22" t="str">
        <x:v>Machinery structure-borne noise</x:v>
      </x:c>
      <x:c r="D8" s="22" t="str">
        <x:v>Alignment, motion, service life</x:v>
      </x:c>
      <x:c r="E8" s="22" t="str">
        <x:v>Mobility / insertion loss</x:v>
      </x:c>
    </x:row>
    <x:row r="9">
      <x:c r="A9" s="1"/>
      <x:c r="B9" s="57" t="str">
        <x:v>Flexible connections</x:v>
      </x:c>
      <x:c r="C9" s="56" t="str">
        <x:v>Pipe and duct paths</x:v>
      </x:c>
      <x:c r="D9" s="56" t="str">
        <x:v>Pressure, fatigue, fire safety</x:v>
      </x:c>
      <x:c r="E9" s="56" t="str">
        <x:v>Installation inspection / test</x:v>
      </x:c>
    </x:row>
    <x:row r="10">
      <x:c r="A10" s="1"/>
      <x:c r="B10" s="58" t="str">
        <x:v>Hull treatment</x:v>
      </x:c>
      <x:c r="C10" s="22" t="str">
        <x:v>Radiating panels</x:v>
      </x:c>
      <x:c r="D10" s="22" t="str">
        <x:v>Weight, space, fire and maintainability</x:v>
      </x:c>
      <x:c r="E10" s="22" t="str">
        <x:v>Panel response / sea trial</x:v>
      </x:c>
    </x:row>
    <x:row r="11">
      <x:c r="A11" s="1"/>
      <x:c r="B11" s="57" t="str">
        <x:v>Maintenance</x:v>
      </x:c>
      <x:c r="C11" s="56" t="str">
        <x:v>Fouling, damage, bearings</x:v>
      </x:c>
      <x:c r="D11" s="56" t="str">
        <x:v>Docking and inspection access</x:v>
      </x:c>
      <x:c r="E11" s="56" t="str">
        <x:v>Before/after measurement</x:v>
      </x:c>
    </x:row>
    <x:row r="12">
      <x:c r="A12" s="1"/>
      <x:c r="B12" s="58" t="str">
        <x:v>Speed management</x:v>
      </x:c>
      <x:c r="C12" s="22" t="str">
        <x:v>Cavitation and flow noise</x:v>
      </x:c>
      <x:c r="D12" s="22" t="str">
        <x:v>Schedule and fuel impacts</x:v>
      </x:c>
      <x:c r="E12" s="22" t="str">
        <x:v>Verified speed-noise curve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54" t="str">
        <x:v>Sources and limits: IMO MEPC.1/Circ.906.</x:v>
      </x:c>
      <x:c r="C14" s="54"/>
      <x:c r="D14" s="54"/>
      <x:c r="E14" s="54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SIGNATURE QA -- CLAIMS NEED CONTEXT</x:v>
      </x:c>
      <x:c r="C2" s="35"/>
      <x:c r="D2" s="35"/>
      <x:c r="E2" s="35"/>
    </x:row>
    <x:row r="3" ht="52" customHeight="1">
      <x:c r="A3" s="1"/>
      <x:c r="B3" s="39" t="str">
        <x:v>A single dB number without band, reference, operating point and uncertainty is not auditable.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Claim element</x:v>
      </x:c>
      <x:c r="C6" s="41" t="str">
        <x:v>Required statement</x:v>
      </x:c>
      <x:c r="D6" s="41" t="str">
        <x:v>Example field</x:v>
      </x:c>
      <x:c r="E6" s="41" t="str">
        <x:v>Status</x:v>
      </x:c>
    </x:row>
    <x:row r="7">
      <x:c r="A7" s="1"/>
      <x:c r="B7" s="57" t="str">
        <x:v>Quantity</x:v>
      </x:c>
      <x:c r="C7" s="56" t="str">
        <x:v>SPL/RNL/source level and band definition</x:v>
      </x:c>
      <x:c r="D7" s="56" t="str">
        <x:v>1/3-octave RNL</x:v>
      </x:c>
      <x:c r="E7" s="56" t="str">
        <x:v>Open</x:v>
      </x:c>
    </x:row>
    <x:row r="8">
      <x:c r="A8" s="1"/>
      <x:c r="B8" s="58" t="str">
        <x:v>Reference</x:v>
      </x:c>
      <x:c r="C8" s="22" t="str">
        <x:v>Reference pressure and distance convention</x:v>
      </x:c>
      <x:c r="D8" s="22" t="str">
        <x:v>1 μPa; normalized distance</x:v>
      </x:c>
      <x:c r="E8" s="22" t="str">
        <x:v>Open</x:v>
      </x:c>
    </x:row>
    <x:row r="9">
      <x:c r="A9" s="1"/>
      <x:c r="B9" s="57" t="str">
        <x:v>Operating state</x:v>
      </x:c>
      <x:c r="C9" s="56" t="str">
        <x:v>Speed, RPM, power, draft, machinery</x:v>
      </x:c>
      <x:c r="D9" s="56" t="str">
        <x:v>Project input</x:v>
      </x:c>
      <x:c r="E9" s="56" t="str">
        <x:v>Open</x:v>
      </x:c>
    </x:row>
    <x:row r="10">
      <x:c r="A10" s="1"/>
      <x:c r="B10" s="58" t="str">
        <x:v>Method</x:v>
      </x:c>
      <x:c r="C10" s="22" t="str">
        <x:v>Standard/procedure and processing revision</x:v>
      </x:c>
      <x:c r="D10" s="22" t="str">
        <x:v>ISO 17208-1 + Amd 1:2024</x:v>
      </x:c>
      <x:c r="E10" s="22" t="str">
        <x:v>Open</x:v>
      </x:c>
    </x:row>
    <x:row r="11">
      <x:c r="A11" s="1"/>
      <x:c r="B11" s="57" t="str">
        <x:v>Corrections</x:v>
      </x:c>
      <x:c r="C11" s="56" t="str">
        <x:v>Geometry, background, propagation treatment</x:v>
      </x:c>
      <x:c r="D11" s="56" t="str">
        <x:v>Method-specific</x:v>
      </x:c>
      <x:c r="E11" s="56" t="str">
        <x:v>Open</x:v>
      </x:c>
    </x:row>
    <x:row r="12">
      <x:c r="A12" s="1"/>
      <x:c r="B12" s="58" t="str">
        <x:v>Uncertainty</x:v>
      </x:c>
      <x:c r="C12" s="22" t="str">
        <x:v>Expanded uncertainty and coverage</x:v>
      </x:c>
      <x:c r="D12" s="22" t="str">
        <x:v>Project result</x:v>
      </x:c>
      <x:c r="E12" s="22" t="str">
        <x:v>Open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54" t="str">
        <x:v>Sources and limits: ISO 17208-1 and project test specification.</x:v>
      </x:c>
      <x:c r="C14" s="54"/>
      <x:c r="D14" s="54"/>
      <x:c r="E14" s="54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REFERENCE TABLES -- AUTHORITATIVE SOURCES</x:v>
      </x:c>
      <x:c r="C2" s="35"/>
      <x:c r="D2" s="35"/>
      <x:c r="E2" s="35"/>
    </x:row>
    <x:row r="3" ht="52" customHeight="1">
      <x:c r="A3" s="1"/>
      <x:c r="B3" s="39" t="str">
        <x:v>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SOURCE REGISTER</x:v>
      </x:c>
      <x:c r="C5" s="13"/>
      <x:c r="D5" s="13"/>
      <x:c r="E5" s="13"/>
    </x:row>
    <x:row r="6">
      <x:c r="A6" s="1"/>
      <x:c r="B6" s="41" t="str">
        <x:v>Instrument / source</x:v>
      </x:c>
      <x:c r="C6" s="41" t="str">
        <x:v>Issuer</x:v>
      </x:c>
      <x:c r="D6" s="41" t="str">
        <x:v>Use in this volume</x:v>
      </x:c>
      <x:c r="E6" s="41" t="str">
        <x:v>Official URL</x:v>
      </x:c>
    </x:row>
    <x:row r="7">
      <x:c r="A7" s="1"/>
      <x:c r="B7" s="57" t="str">
        <x:v>MEPC.1/Circ.906</x:v>
      </x:c>
      <x:c r="C7" s="56" t="str">
        <x:v>IMO</x:v>
      </x:c>
      <x:c r="D7" s="56" t="str">
        <x:v>Revised guidelines for reducing underwater radiated noise</x:v>
      </x:c>
      <x:c r="E7" s="59" t="str">
        <x:v>https://glonoise.imo.org/documents/2436</x:v>
      </x:c>
    </x:row>
    <x:row r="8">
      <x:c r="A8" s="1"/>
      <x:c r="B8" s="58" t="str">
        <x:v>ISO 17208-1:2016 + Amd 1:2024</x:v>
      </x:c>
      <x:c r="C8" s="22" t="str">
        <x:v>ISO</x:v>
      </x:c>
      <x:c r="D8" s="22" t="str">
        <x:v>Precision measurement in deep water</x:v>
      </x:c>
      <x:c r="E8" s="59" t="str">
        <x:v>https://www.iso.org/standard/62408.html</x:v>
      </x:c>
    </x:row>
    <x:row r="9">
      <x:c r="A9" s="1"/>
      <x:c r="B9" s="1"/>
      <x:c r="C9" s="1"/>
      <x:c r="D9" s="1"/>
      <x:c r="E9" s="1"/>
    </x:row>
    <x:row r="10" ht="42" customHeight="1">
      <x:c r="A10" s="1"/>
      <x:c r="B10" s="54" t="str">
        <x:v>Sources and limits: URLs are recorded in plain text for audit. Always confirm amendments, flag circulars and the selected class rules at project start.</x:v>
      </x:c>
      <x:c r="C10" s="54"/>
      <x:c r="D10" s="54"/>
      <x:c r="E10" s="54"/>
    </x:row>
    <x:row r="11">
      <x:c r="A11" s="1"/>
      <x:c r="B11" s="1"/>
      <x:c r="C11" s="1"/>
      <x:c r="D11" s="1"/>
      <x:c r="E11" s="1"/>
    </x:row>
    <x:row r="12">
      <x:c r="A12" s="1"/>
      <x:c r="B12" s="1"/>
      <x:c r="C12" s="1"/>
      <x:c r="D12" s="1"/>
      <x:c r="E12" s="1"/>
    </x:row>
    <x:row r="13">
      <x:c r="A13" s="1"/>
      <x:c r="B13" s="1"/>
      <x:c r="C13" s="1"/>
      <x:c r="D13" s="1"/>
      <x:c r="E13" s="1"/>
    </x:row>
    <x:row r="14">
      <x:c r="A14" s="1"/>
      <x:c r="B14" s="1"/>
      <x:c r="C14" s="1"/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0:E10"/>
  </x:mergeCells>
  <x:pageMargins left="0.7" right="0.7" top="0.75" bottom="0.75" header="0.3" footer="0.3"/>
</x:worksheet>
</file>