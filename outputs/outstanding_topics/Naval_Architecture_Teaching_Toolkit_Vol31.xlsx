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7af2a3cb144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a9c7089441f4af6"/>
    <x:sheet xmlns:r="http://schemas.openxmlformats.org/officeDocument/2006/relationships" name="IMO TRIAL CHECK" sheetId="2" r:id="Rbc47ec65f4c540b1"/>
    <x:sheet xmlns:r="http://schemas.openxmlformats.org/officeDocument/2006/relationships" name="HYDRO DERIVATIVES" sheetId="3" r:id="R39e766c019444ada"/>
    <x:sheet xmlns:r="http://schemas.openxmlformats.org/officeDocument/2006/relationships" name="TURNING ANALYSIS" sheetId="4" r:id="R3f3c7e3fdd8e44cc"/>
    <x:sheet xmlns:r="http://schemas.openxmlformats.org/officeDocument/2006/relationships" name="STOPPING ANALYSIS" sheetId="5" r:id="Rb843422f36e44ce6"/>
    <x:sheet xmlns:r="http://schemas.openxmlformats.org/officeDocument/2006/relationships" name="SHALLOW WATER" sheetId="6" r:id="Rddec4a4db29a4f98"/>
    <x:sheet xmlns:r="http://schemas.openxmlformats.org/officeDocument/2006/relationships" name="TRIAL QA" sheetId="7" r:id="R5761ec0f7d764101"/>
    <x:sheet xmlns:r="http://schemas.openxmlformats.org/officeDocument/2006/relationships" name="REFERENCE TABLES" sheetId="8" r:id="R1d6842ee071e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16">
    <x:font>
      <x:sz val="11"/>
      <x:name val="Carlito"/>
    </x:font>
    <x:font>
      <x:sz val="11"/>
      <x:color rgb="FF000000"/>
      <x:name val="Carlito"/>
    </x:font>
    <x:font>
      <x:b/>
      <x:sz val="11"/>
      <x:color rgb="FFC8960C"/>
      <x:name val="Carlito"/>
    </x:font>
    <x:font>
      <x:b/>
      <x:sz val="11"/>
      <x:color rgb="FFFFFFFF"/>
      <x:name val="Carlito"/>
    </x:font>
    <x:font>
      <x:i/>
      <x:sz val="11"/>
      <x:color rgb="FFD6E8F7"/>
      <x:name val="Carlito"/>
    </x:font>
    <x:font>
      <x:sz val="11"/>
      <x:color rgb="FFFFFFFF"/>
      <x:name val="Carlito"/>
    </x:font>
    <x:font>
      <x:b/>
      <x:sz val="11"/>
      <x:color rgb="FF1B3A6B"/>
      <x:name val="Carlito"/>
    </x:font>
    <x:font>
      <x:sz val="11"/>
      <x:color rgb="FF404040"/>
      <x:name val="Carlito"/>
    </x:font>
    <x:font>
      <x:b/>
      <x:sz val="11"/>
      <x:color rgb="FF2E6DA4"/>
      <x:name val="Carlito"/>
    </x:font>
    <x:font>
      <x:i/>
      <x:sz val="11"/>
      <x:color rgb="FFC8960C"/>
      <x:name val="Carlito"/>
    </x:font>
    <x:font>
      <x:i/>
      <x:sz val="11"/>
      <x:color rgb="FF404040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808080"/>
      <x:name val="Carlito"/>
    </x:font>
    <x:font>
      <x:i/>
      <x:sz val="11"/>
      <x:color rgb="FF777777"/>
      <x:name val="Carlito"/>
    </x:font>
    <x:font>
      <x:sz val="11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A1F3D"/>
      </x:patternFill>
    </x:fill>
    <x:fill>
      <x:patternFill patternType="solid">
        <x:fgColor rgb="FF2E6DA4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1B3A6B"/>
      </x:patternFill>
    </x:fill>
    <x:fill>
      <x:patternFill patternType="solid">
        <x:fgColor rgb="FFD6E8F7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  <x:fill>
      <x:patternFill patternType="solid">
        <x:fgColor rgb="FFE3F2FD"/>
      </x:patternFill>
    </x:fill>
  </x:fills>
  <x:borders count="2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/>
    <x:xf numFmtId="0" fontId="1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wrapText="1"/>
    </x:xf>
    <x:xf numFmtId="0" fontId="11" fillId="11" borderId="0" xfId="0" applyNumberFormat="1" applyFont="1" applyFill="1" applyBorder="1" applyAlignment="1">
      <x:alignment horizontal="center" wrapText="1"/>
    </x:xf>
    <x:xf numFmtId="200" fontId="11" fillId="11" borderId="0" xfId="0" applyNumberFormat="1" applyFont="1" applyFill="1" applyBorder="1" applyAlignment="1">
      <x:alignment horizontal="center" wrapText="1"/>
    </x:xf>
    <x:xf numFmtId="0" fontId="13" fillId="11" borderId="0" xfId="0" applyNumberFormat="1" applyFont="1" applyFill="1" applyBorder="1" applyAlignment="1">
      <x:alignment wrapText="1"/>
    </x:xf>
    <x:xf numFmtId="0" fontId="13" fillId="11" borderId="0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201" fontId="11" fillId="11" borderId="0" xfId="0" applyNumberFormat="1" applyFont="1" applyFill="1" applyBorder="1" applyAlignment="1">
      <x:alignment horizontal="center" wrapText="1"/>
    </x:xf>
    <x:xf numFmtId="0" fontId="15" fillId="1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41265af90e4f67" /><Relationship Type="http://schemas.openxmlformats.org/officeDocument/2006/relationships/theme" Target="/xl/theme/theme1.xml" Id="Rf99e2c6c80b349cc" /><Relationship Type="http://schemas.openxmlformats.org/officeDocument/2006/relationships/sharedStrings" Target="/xl/sharedStrings.xml" Id="R5e53db4a657542e0" /><Relationship Type="http://schemas.openxmlformats.org/officeDocument/2006/relationships/worksheet" Target="/xl/worksheets/sheet1.xml" Id="R6a9c7089441f4af6" /><Relationship Type="http://schemas.openxmlformats.org/officeDocument/2006/relationships/worksheet" Target="/xl/worksheets/sheet2.xml" Id="Rbc47ec65f4c540b1" /><Relationship Type="http://schemas.openxmlformats.org/officeDocument/2006/relationships/worksheet" Target="/xl/worksheets/sheet3.xml" Id="R39e766c019444ada" /><Relationship Type="http://schemas.openxmlformats.org/officeDocument/2006/relationships/worksheet" Target="/xl/worksheets/sheet4.xml" Id="R3f3c7e3fdd8e44cc" /><Relationship Type="http://schemas.openxmlformats.org/officeDocument/2006/relationships/worksheet" Target="/xl/worksheets/sheet5.xml" Id="Rb843422f36e44ce6" /><Relationship Type="http://schemas.openxmlformats.org/officeDocument/2006/relationships/worksheet" Target="/xl/worksheets/sheet6.xml" Id="Rddec4a4db29a4f98" /><Relationship Type="http://schemas.openxmlformats.org/officeDocument/2006/relationships/worksheet" Target="/xl/worksheets/sheet7.xml" Id="R5761ec0f7d764101" /><Relationship Type="http://schemas.openxmlformats.org/officeDocument/2006/relationships/worksheet" Target="/xl/worksheets/sheet8.xml" Id="R1d6842ee071e40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/>
      <x:c r="C2" s="2"/>
      <x:c r="D2" s="2"/>
      <x:c r="E2" s="2"/>
    </x:row>
    <x:row r="3">
      <x:c r="A3" s="1"/>
      <x:c r="B3" s="4" t="str">
        <x:v>NAVAL ARCHITECTURE</x:v>
      </x:c>
      <x:c r="C3" s="4"/>
      <x:c r="D3" s="4"/>
      <x:c r="E3" s="4"/>
    </x:row>
    <x:row r="4">
      <x:c r="A4" s="1"/>
      <x:c r="B4" s="6" t="str">
        <x:v>TEACHING TOOLKIT</x:v>
      </x:c>
      <x:c r="C4" s="6"/>
      <x:c r="D4" s="6"/>
      <x:c r="E4" s="6"/>
    </x:row>
    <x:row r="5">
      <x:c r="A5" s="1"/>
      <x:c r="B5" s="4" t="str">
        <x:v>VOLUME 31 :  Ship Manoeuvring and Hydrodynamics</x:v>
      </x:c>
      <x:c r="C5" s="4"/>
      <x:c r="D5" s="4"/>
      <x:c r="E5" s="4"/>
    </x:row>
    <x:row r="6">
      <x:c r="A6" s="1"/>
      <x:c r="B6" s="8" t="str">
        <x:v>Turning. Zig-Zag. Stopping. Shallow Water. Trial Corrections.</x:v>
      </x:c>
      <x:c r="C6" s="8"/>
      <x:c r="D6" s="8"/>
      <x:c r="E6" s="8"/>
    </x:row>
    <x:row r="7">
      <x:c r="A7" s="1"/>
      <x:c r="B7" s="2"/>
      <x:c r="C7" s="2"/>
      <x:c r="D7" s="2"/>
      <x:c r="E7" s="2"/>
    </x:row>
    <x:row r="8">
      <x:c r="A8" s="1"/>
      <x:c r="B8" s="10" t="str">
        <x:v>Alper Alacam  |  Naval Architect and Marine Engineer  |  Turkiye  |  2026</x:v>
      </x:c>
      <x:c r="C8" s="10"/>
      <x:c r="D8" s="10"/>
      <x:c r="E8" s="10"/>
    </x:row>
    <x:row r="9">
      <x:c r="A9" s="1"/>
      <x:c r="B9" s="2"/>
      <x:c r="C9" s="2"/>
      <x:c r="D9" s="2"/>
      <x:c r="E9" s="2"/>
    </x:row>
    <x:row r="10">
      <x:c r="A10" s="1"/>
      <x:c r="B10" s="13" t="str">
        <x:v>ABOUT THIS VOLUME</x:v>
      </x:c>
      <x:c r="C10" s="13"/>
      <x:c r="D10" s="13"/>
      <x:c r="E10" s="13"/>
    </x:row>
    <x:row r="11" ht="58" customHeight="1">
      <x:c r="A11" s="1"/>
      <x:c r="B11" s="15" t="str">
        <x:v>Why this topic matters</x:v>
      </x:c>
      <x:c r="C11" s="17" t="str">
        <x:v>Manoeuvrability is a coupled hydrodynamic response involving hull, propulsor, rudder, controls and environment. Trial results must be measured and interpreted under controlled conditions.</x:v>
      </x:c>
      <x:c r="D11" s="1"/>
      <x:c r="E11" s="1"/>
    </x:row>
    <x:row r="12" ht="58" customHeight="1">
      <x:c r="A12" s="1"/>
      <x:c r="B12" s="15" t="str">
        <x:v>What this volume covers</x:v>
      </x:c>
      <x:c r="C12" s="17" t="str">
        <x:v>IMO trial criteria calculator; turning and stopping normalization; zig-zag limits; non-dimensional hydrodynamic derivatives; shallow-water and environmental influence checklist; trial QA.</x:v>
      </x:c>
      <x:c r="D12" s="1"/>
      <x:c r="E12" s="1"/>
    </x:row>
    <x:row r="13" ht="58" customHeight="1">
      <x:c r="A13" s="1"/>
      <x:c r="B13" s="15" t="str">
        <x:v>Verification boundary</x:v>
      </x:c>
      <x:c r="C13" s="17" t="str">
        <x:v>The IMO criteria sheet applies only within MSC.137(76) scope and stated trial conditions. Non-conventional propulsion and restricted-water effects need dedicated analysis.</x:v>
      </x:c>
      <x:c r="D13" s="1"/>
      <x:c r="E13" s="1"/>
    </x:row>
    <x:row r="14" ht="58" customHeight="1">
      <x:c r="A14" s="1"/>
      <x:c r="B14" s="15" t="str">
        <x:v>Primary references</x:v>
      </x:c>
      <x:c r="C14" s="17" t="str">
        <x:v>IMO MSC.137(76); ITTC Full Scale Manoeuvring Trials 7.5-04-02-01 Rev.04 (2024).</x:v>
      </x:c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3" t="str">
        <x:v>WORKSHEET INDEX</x:v>
      </x:c>
      <x:c r="C16" s="13"/>
      <x:c r="D16" s="13"/>
      <x:c r="E16" s="13"/>
    </x:row>
    <x:row r="17">
      <x:c r="A17" s="1"/>
      <x:c r="B17" s="20" t="str">
        <x:v>No.</x:v>
      </x:c>
      <x:c r="C17" s="20" t="str">
        <x:v>Sheet</x:v>
      </x:c>
      <x:c r="D17" s="20" t="str">
        <x:v>Contents</x:v>
      </x:c>
      <x:c r="E17" s="1"/>
    </x:row>
    <x:row r="18">
      <x:c r="A18" s="1"/>
      <x:c r="B18" s="27" t="str">
        <x:v>1</x:v>
      </x:c>
      <x:c r="C18" s="29" t="str">
        <x:v>COVER</x:v>
      </x:c>
      <x:c r="D18" s="22" t="str">
        <x:v>Scope, references and verification boundary</x:v>
      </x:c>
      <x:c r="E18" s="1"/>
    </x:row>
    <x:row r="19">
      <x:c r="A19" s="1"/>
      <x:c r="B19" s="28" t="str">
        <x:v>2</x:v>
      </x:c>
      <x:c r="C19" s="30" t="str">
        <x:v>IMO TRIAL CHECK</x:v>
      </x:c>
      <x:c r="D19" s="24" t="str">
        <x:v>Turning, stopping and zig-zag criteria</x:v>
      </x:c>
      <x:c r="E19" s="1"/>
    </x:row>
    <x:row r="20">
      <x:c r="A20" s="1"/>
      <x:c r="B20" s="27" t="str">
        <x:v>3</x:v>
      </x:c>
      <x:c r="C20" s="29" t="str">
        <x:v>HYDRO DERIVATIVES</x:v>
      </x:c>
      <x:c r="D20" s="22" t="str">
        <x:v>Derivative sign and model register</x:v>
      </x:c>
      <x:c r="E20" s="1"/>
    </x:row>
    <x:row r="21">
      <x:c r="A21" s="1"/>
      <x:c r="B21" s="28" t="str">
        <x:v>4</x:v>
      </x:c>
      <x:c r="C21" s="30" t="str">
        <x:v>TURNING ANALYSIS</x:v>
      </x:c>
      <x:c r="D21" s="24" t="str">
        <x:v>Advance and tactical diameter normalization</x:v>
      </x:c>
      <x:c r="E21" s="1"/>
    </x:row>
    <x:row r="22">
      <x:c r="A22" s="1"/>
      <x:c r="B22" s="27" t="str">
        <x:v>5</x:v>
      </x:c>
      <x:c r="C22" s="29" t="str">
        <x:v>STOPPING ANALYSIS</x:v>
      </x:c>
      <x:c r="D22" s="22" t="str">
        <x:v>Track reach and time normalization</x:v>
      </x:c>
      <x:c r="E22" s="1"/>
    </x:row>
    <x:row r="23">
      <x:c r="A23" s="1"/>
      <x:c r="B23" s="28" t="str">
        <x:v>6</x:v>
      </x:c>
      <x:c r="C23" s="30" t="str">
        <x:v>SHALLOW WATER</x:v>
      </x:c>
      <x:c r="D23" s="24" t="str">
        <x:v>Depth and blockage screening</x:v>
      </x:c>
      <x:c r="E23" s="1"/>
    </x:row>
    <x:row r="24">
      <x:c r="A24" s="1"/>
      <x:c r="B24" s="27" t="str">
        <x:v>7</x:v>
      </x:c>
      <x:c r="C24" s="29" t="str">
        <x:v>TRIAL QA</x:v>
      </x:c>
      <x:c r="D24" s="22" t="str">
        <x:v>Trial condition and instrumentation checklist</x:v>
      </x:c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32" t="str">
        <x:v>© 2026 Alper Alacam Naval Architecture . All rights reserved.</x:v>
      </x:c>
      <x:c r="C31" s="32"/>
      <x:c r="D31" s="32"/>
      <x:c r="E31" s="32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3:E3"/>
    <x:mergeCell ref="B4:E4"/>
    <x:mergeCell ref="B5:E5"/>
    <x:mergeCell ref="B6:E6"/>
    <x:mergeCell ref="B8:E8"/>
    <x:mergeCell ref="B10:E10"/>
    <x:mergeCell ref="B16:E16"/>
    <x:mergeCell ref="B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IMO TRIAL CHECK -- MSC.137(76)</x:v>
      </x:c>
      <x:c r="C2" s="35"/>
      <x:c r="D2" s="35"/>
      <x:c r="E2" s="35"/>
    </x:row>
    <x:row r="3" ht="52" customHeight="1">
      <x:c r="A3" s="1"/>
      <x:c r="B3" s="39" t="str">
        <x:v>Inputs are full-scale trial results normalized by ship length L. Zig-zag limits depend on L/V in seconds.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1" t="str">
        <x:v>Parameter</x:v>
      </x:c>
      <x:c r="C6" s="41" t="str">
        <x:v>Value</x:v>
      </x:c>
      <x:c r="D6" s="41" t="str">
        <x:v>Unit</x:v>
      </x:c>
      <x:c r="E6" s="41" t="str">
        <x:v>Explanation / source</x:v>
      </x:c>
    </x:row>
    <x:row r="7" ht="34" customHeight="1">
      <x:c r="A7" s="1"/>
      <x:c r="B7" s="42" t="str">
        <x:v>Length L</x:v>
      </x:c>
      <x:c r="C7" s="46" t="n">
        <x:v>150</x:v>
      </x:c>
      <x:c r="D7" s="48" t="str">
        <x:v>m</x:v>
      </x:c>
      <x:c r="E7" s="38" t="str">
        <x:v>Use the length definition in MSC.137(76).</x:v>
      </x:c>
    </x:row>
    <x:row r="8" ht="34" customHeight="1">
      <x:c r="A8" s="1"/>
      <x:c r="B8" s="42" t="str">
        <x:v>Test speed V</x:v>
      </x:c>
      <x:c r="C8" s="46" t="n">
        <x:v>7.5</x:v>
      </x:c>
      <x:c r="D8" s="48" t="str">
        <x:v>m/s</x:v>
      </x:c>
      <x:c r="E8" s="38" t="str">
        <x:v>Speed at test condition.</x:v>
      </x:c>
    </x:row>
    <x:row r="9" ht="34" customHeight="1">
      <x:c r="A9" s="1"/>
      <x:c r="B9" s="42" t="str">
        <x:v>Advance</x:v>
      </x:c>
      <x:c r="C9" s="46" t="n">
        <x:v>620</x:v>
      </x:c>
      <x:c r="D9" s="48" t="str">
        <x:v>m</x:v>
      </x:c>
      <x:c r="E9" s="38" t="str">
        <x:v>Turning-circle advance.</x:v>
      </x:c>
    </x:row>
    <x:row r="10" ht="34" customHeight="1">
      <x:c r="A10" s="1"/>
      <x:c r="B10" s="42" t="str">
        <x:v>Tactical diameter</x:v>
      </x:c>
      <x:c r="C10" s="46" t="n">
        <x:v>700</x:v>
      </x:c>
      <x:c r="D10" s="48" t="str">
        <x:v>m</x:v>
      </x:c>
      <x:c r="E10" s="38" t="str">
        <x:v>Turning-circle tactical diameter.</x:v>
      </x:c>
    </x:row>
    <x:row r="11" ht="34" customHeight="1">
      <x:c r="A11" s="1"/>
      <x:c r="B11" s="42" t="str">
        <x:v>Track reach</x:v>
      </x:c>
      <x:c r="C11" s="46" t="n">
        <x:v>1800</x:v>
      </x:c>
      <x:c r="D11" s="48" t="str">
        <x:v>m</x:v>
      </x:c>
      <x:c r="E11" s="38" t="str">
        <x:v>Full astern stopping track reach.</x:v>
      </x:c>
    </x:row>
    <x:row r="12" ht="34" customHeight="1">
      <x:c r="A12" s="1"/>
      <x:c r="B12" s="42" t="str">
        <x:v>10/10 first overshoot</x:v>
      </x:c>
      <x:c r="C12" s="46" t="n">
        <x:v>12</x:v>
      </x:c>
      <x:c r="D12" s="48" t="str">
        <x:v>deg</x:v>
      </x:c>
      <x:c r="E12" s="38" t="str">
        <x:v>Maximum first overshoot.</x:v>
      </x:c>
    </x:row>
    <x:row r="13" ht="34" customHeight="1">
      <x:c r="A13" s="1"/>
      <x:c r="B13" s="42" t="str">
        <x:v>10/10 second overshoot</x:v>
      </x:c>
      <x:c r="C13" s="46" t="n">
        <x:v>28</x:v>
      </x:c>
      <x:c r="D13" s="48" t="str">
        <x:v>deg</x:v>
      </x:c>
      <x:c r="E13" s="38" t="str">
        <x:v>Maximum second overshoot.</x:v>
      </x:c>
    </x:row>
    <x:row r="14">
      <x:c r="A14" s="1"/>
      <x:c r="B14" s="1"/>
      <x:c r="C14" s="1"/>
      <x:c r="D14" s="1"/>
      <x:c r="E14" s="1"/>
    </x:row>
    <x:row r="15">
      <x:c r="A15" s="1"/>
      <x:c r="B15" s="13" t="str">
        <x:v>CRITERIA</x:v>
      </x:c>
      <x:c r="C15" s="13"/>
      <x:c r="D15" s="13"/>
      <x:c r="E15" s="13"/>
    </x:row>
    <x:row r="16">
      <x:c r="A16" s="1"/>
      <x:c r="B16" s="41" t="str">
        <x:v>Measure</x:v>
      </x:c>
      <x:c r="C16" s="41" t="str">
        <x:v>Result</x:v>
      </x:c>
      <x:c r="D16" s="41" t="str">
        <x:v>Limit</x:v>
      </x:c>
      <x:c r="E16" s="41" t="str">
        <x:v>MSC.137(76) criterion</x:v>
      </x:c>
    </x:row>
    <x:row r="17" ht="32" customHeight="1">
      <x:c r="A17" s="1"/>
      <x:c r="B17" s="51" t="str">
        <x:v>L/V</x:v>
      </x:c>
      <x:c r="C17" s="53" t="n">
        <x:f>C7/C8</x:f>
        <x:v>20</x:v>
      </x:c>
      <x:c r="D17" s="55" t="str">
        <x:v>s</x:v>
      </x:c>
      <x:c r="E17" s="50" t="str">
        <x:v>Determines zig-zag limits.</x:v>
      </x:c>
    </x:row>
    <x:row r="18" ht="32" customHeight="1">
      <x:c r="A18" s="1"/>
      <x:c r="B18" s="51" t="str">
        <x:v>Advance / L</x:v>
      </x:c>
      <x:c r="C18" s="53" t="n">
        <x:f>C9/C7</x:f>
        <x:v>4.133333333333334</x:v>
      </x:c>
      <x:c r="D18" s="55" t="str">
        <x:v>L</x:v>
      </x:c>
      <x:c r="E18" s="50" t="str">
        <x:v>≤4.5 L.</x:v>
      </x:c>
    </x:row>
    <x:row r="19" ht="32" customHeight="1">
      <x:c r="A19" s="1"/>
      <x:c r="B19" s="51" t="str">
        <x:v>Tactical diameter / L</x:v>
      </x:c>
      <x:c r="C19" s="53" t="n">
        <x:f>C10/C7</x:f>
        <x:v>4.666666666666667</x:v>
      </x:c>
      <x:c r="D19" s="55" t="str">
        <x:v>L</x:v>
      </x:c>
      <x:c r="E19" s="50" t="str">
        <x:v>≤5.0 L.</x:v>
      </x:c>
    </x:row>
    <x:row r="20" ht="32" customHeight="1">
      <x:c r="A20" s="1"/>
      <x:c r="B20" s="51" t="str">
        <x:v>Track reach / L</x:v>
      </x:c>
      <x:c r="C20" s="53" t="n">
        <x:f>C11/C7</x:f>
        <x:v>12</x:v>
      </x:c>
      <x:c r="D20" s="55" t="str">
        <x:v>L</x:v>
      </x:c>
      <x:c r="E20" s="50" t="str">
        <x:v>≤15 L; Administration may modify for large displacement ships.</x:v>
      </x:c>
    </x:row>
    <x:row r="21" ht="32" customHeight="1">
      <x:c r="A21" s="1"/>
      <x:c r="B21" s="51" t="str">
        <x:v>First overshoot limit</x:v>
      </x:c>
      <x:c r="C21" s="53" t="n">
        <x:f>IF(C17&lt;10,10,IF(C17&lt;=30,5+0.5*C17,20))</x:f>
        <x:v>15</x:v>
      </x:c>
      <x:c r="D21" s="55" t="str">
        <x:v>deg</x:v>
      </x:c>
      <x:c r="E21" s="50" t="str">
        <x:v>Piecewise criterion.</x:v>
      </x:c>
    </x:row>
    <x:row r="22" ht="32" customHeight="1">
      <x:c r="A22" s="1"/>
      <x:c r="B22" s="51" t="str">
        <x:v>Second overshoot limit</x:v>
      </x:c>
      <x:c r="C22" s="53" t="n">
        <x:f>IF(C17&lt;10,25,IF(C17&lt;=30,17.5+0.75*C17,40))</x:f>
        <x:v>32.5</x:v>
      </x:c>
      <x:c r="D22" s="55" t="str">
        <x:v>deg</x:v>
      </x:c>
      <x:c r="E22" s="50" t="str">
        <x:v>Piecewise criterion.</x:v>
      </x:c>
    </x:row>
    <x:row r="23" ht="32" customHeight="1">
      <x:c r="A23" s="1"/>
      <x:c r="B23" s="51" t="str">
        <x:v>Overall status</x:v>
      </x:c>
      <x:c r="C23" s="53" t="str">
        <x:f>IF(AND(C18&lt;=4.5,C19&lt;=5,C20&lt;=15,C12&lt;=C21,C13&lt;=C22),"PASS INPUT CRITERIA","REVIEW / FAIL")</x:f>
        <x:v>PASS INPUT CRITERIA</x:v>
      </x:c>
      <x:c r="D23" s="55" t="str"/>
      <x:c r="E23" s="50" t="str">
        <x:v>Also assess initial turning and applicability.</x:v>
      </x:c>
    </x:row>
    <x:row r="24">
      <x:c r="A24" s="1"/>
      <x:c r="B24" s="1"/>
      <x:c r="C24" s="1"/>
      <x:c r="D24" s="1"/>
      <x:c r="E24" s="1"/>
    </x:row>
    <x:row r="25" ht="42" customHeight="1">
      <x:c r="A25" s="1"/>
      <x:c r="B25" s="57" t="str">
        <x:v>Sources and limits: IMO MSC.137(76). Confirm full text, trial conditions, scope and any Administration decisions.</x:v>
      </x:c>
      <x:c r="C25" s="57"/>
      <x:c r="D25" s="57"/>
      <x:c r="E25" s="57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5:E15"/>
    <x:mergeCell ref="B25:E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HYDRODYNAMIC DERIVATIVES -- MODEL REGISTER</x:v>
      </x:c>
      <x:c r="C2" s="35"/>
      <x:c r="D2" s="35"/>
      <x:c r="E2" s="35"/>
    </x:row>
    <x:row r="3" ht="52" customHeight="1">
      <x:c r="A3" s="1"/>
      <x:c r="B3" s="39" t="str">
        <x:v>Record convention and source before comparing coefficients; signs vary across references and software.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Derivative / term</x:v>
      </x:c>
      <x:c r="C6" s="41" t="str">
        <x:v>Physical meaning</x:v>
      </x:c>
      <x:c r="D6" s="41" t="str">
        <x:v>Expected role</x:v>
      </x:c>
      <x:c r="E6" s="41" t="str">
        <x:v>Verification</x:v>
      </x:c>
    </x:row>
    <x:row r="7">
      <x:c r="A7" s="1"/>
      <x:c r="B7" s="60" t="str">
        <x:v>Y_v</x:v>
      </x:c>
      <x:c r="C7" s="59" t="str">
        <x:v>Sway force sensitivity to lateral velocity</x:v>
      </x:c>
      <x:c r="D7" s="59" t="str">
        <x:v>Lateral damping / stability</x:v>
      </x:c>
      <x:c r="E7" s="59" t="str">
        <x:v>Confirm sign convention</x:v>
      </x:c>
    </x:row>
    <x:row r="8">
      <x:c r="A8" s="1"/>
      <x:c r="B8" s="61" t="str">
        <x:v>N_v</x:v>
      </x:c>
      <x:c r="C8" s="22" t="str">
        <x:v>Yaw moment sensitivity to lateral velocity</x:v>
      </x:c>
      <x:c r="D8" s="22" t="str">
        <x:v>Directional stability coupling</x:v>
      </x:c>
      <x:c r="E8" s="22" t="str">
        <x:v>Confirm sign convention</x:v>
      </x:c>
    </x:row>
    <x:row r="9">
      <x:c r="A9" s="1"/>
      <x:c r="B9" s="60" t="str">
        <x:v>Y_r</x:v>
      </x:c>
      <x:c r="C9" s="59" t="str">
        <x:v>Sway force sensitivity to yaw rate</x:v>
      </x:c>
      <x:c r="D9" s="59" t="str">
        <x:v>Rotational coupling</x:v>
      </x:c>
      <x:c r="E9" s="59" t="str">
        <x:v>Confirm sign convention</x:v>
      </x:c>
    </x:row>
    <x:row r="10">
      <x:c r="A10" s="1"/>
      <x:c r="B10" s="61" t="str">
        <x:v>N_r</x:v>
      </x:c>
      <x:c r="C10" s="22" t="str">
        <x:v>Yaw moment sensitivity to yaw rate</x:v>
      </x:c>
      <x:c r="D10" s="22" t="str">
        <x:v>Yaw damping</x:v>
      </x:c>
      <x:c r="E10" s="22" t="str">
        <x:v>Confirm sign convention</x:v>
      </x:c>
    </x:row>
    <x:row r="11">
      <x:c r="A11" s="1"/>
      <x:c r="B11" s="60" t="str">
        <x:v>Rudder force</x:v>
      </x:c>
      <x:c r="C11" s="59" t="str">
        <x:v>Control force versus angle and inflow</x:v>
      </x:c>
      <x:c r="D11" s="59" t="str">
        <x:v>Turning and course keeping</x:v>
      </x:c>
      <x:c r="E11" s="59" t="str">
        <x:v>Validate behind-hull inflow</x:v>
      </x:c>
    </x:row>
    <x:row r="12">
      <x:c r="A12" s="1"/>
      <x:c r="B12" s="61" t="str">
        <x:v>Propeller-rudder interaction</x:v>
      </x:c>
      <x:c r="C12" s="22" t="str">
        <x:v>Slipstream and thrust deduction effects</x:v>
      </x:c>
      <x:c r="D12" s="22" t="str">
        <x:v>Low-speed and ahead response</x:v>
      </x:c>
      <x:c r="E12" s="22" t="str">
        <x:v>Validate propulsion state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7" t="str">
        <x:v>Sources and limits: Use a documented MMG, Abkowitz or project model; do not mix coefficient normalizations.</x:v>
      </x:c>
      <x:c r="C14" s="57"/>
      <x:c r="D14" s="57"/>
      <x:c r="E14" s="5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TURNING ANALYSIS -- NORMALIZED GEOMETRY</x:v>
      </x:c>
      <x:c r="C2" s="35"/>
      <x:c r="D2" s="35"/>
      <x:c r="E2" s="35"/>
    </x:row>
    <x:row r="3" ht="52" customHeight="1">
      <x:c r="A3" s="1"/>
      <x:c r="B3" s="39" t="str">
        <x:v>Port/starboard asymmetry can expose wind, current, loading or control bias.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1" t="str">
        <x:v>Parameter</x:v>
      </x:c>
      <x:c r="C6" s="41" t="str">
        <x:v>Value</x:v>
      </x:c>
      <x:c r="D6" s="41" t="str">
        <x:v>Unit</x:v>
      </x:c>
      <x:c r="E6" s="41" t="str">
        <x:v>Explanation / source</x:v>
      </x:c>
    </x:row>
    <x:row r="7" ht="34" customHeight="1">
      <x:c r="A7" s="1"/>
      <x:c r="B7" s="42" t="str">
        <x:v>Length L</x:v>
      </x:c>
      <x:c r="C7" s="46" t="n">
        <x:v>150</x:v>
      </x:c>
      <x:c r="D7" s="48" t="str">
        <x:v>m</x:v>
      </x:c>
      <x:c r="E7" s="38" t="str">
        <x:v>MSC.137(76) length basis.</x:v>
      </x:c>
    </x:row>
    <x:row r="8" ht="34" customHeight="1">
      <x:c r="A8" s="1"/>
      <x:c r="B8" s="42" t="str">
        <x:v>Port advance</x:v>
      </x:c>
      <x:c r="C8" s="46" t="n">
        <x:v>620</x:v>
      </x:c>
      <x:c r="D8" s="48" t="str">
        <x:v>m</x:v>
      </x:c>
      <x:c r="E8" s="38" t="str">
        <x:v>Measured trial result.</x:v>
      </x:c>
    </x:row>
    <x:row r="9" ht="34" customHeight="1">
      <x:c r="A9" s="1"/>
      <x:c r="B9" s="42" t="str">
        <x:v>Starboard advance</x:v>
      </x:c>
      <x:c r="C9" s="46" t="n">
        <x:v>600</x:v>
      </x:c>
      <x:c r="D9" s="48" t="str">
        <x:v>m</x:v>
      </x:c>
      <x:c r="E9" s="38" t="str">
        <x:v>Measured trial result.</x:v>
      </x:c>
    </x:row>
    <x:row r="10" ht="34" customHeight="1">
      <x:c r="A10" s="1"/>
      <x:c r="B10" s="42" t="str">
        <x:v>Port tactical diameter</x:v>
      </x:c>
      <x:c r="C10" s="46" t="n">
        <x:v>700</x:v>
      </x:c>
      <x:c r="D10" s="48" t="str">
        <x:v>m</x:v>
      </x:c>
      <x:c r="E10" s="38" t="str">
        <x:v>Measured trial result.</x:v>
      </x:c>
    </x:row>
    <x:row r="11" ht="34" customHeight="1">
      <x:c r="A11" s="1"/>
      <x:c r="B11" s="42" t="str">
        <x:v>Starboard tactical diameter</x:v>
      </x:c>
      <x:c r="C11" s="46" t="n">
        <x:v>680</x:v>
      </x:c>
      <x:c r="D11" s="48" t="str">
        <x:v>m</x:v>
      </x:c>
      <x:c r="E11" s="38" t="str">
        <x:v>Measured trial result.</x:v>
      </x:c>
    </x:row>
    <x:row r="12">
      <x:c r="A12" s="1"/>
      <x:c r="B12" s="1"/>
      <x:c r="C12" s="1"/>
      <x:c r="D12" s="1"/>
      <x:c r="E12" s="1"/>
    </x:row>
    <x:row r="13">
      <x:c r="A13" s="1"/>
      <x:c r="B13" s="13" t="str">
        <x:v>RESULTS</x:v>
      </x:c>
      <x:c r="C13" s="13"/>
      <x:c r="D13" s="13"/>
      <x:c r="E13" s="13"/>
    </x:row>
    <x:row r="14">
      <x:c r="A14" s="1"/>
      <x:c r="B14" s="41" t="str">
        <x:v>Result</x:v>
      </x:c>
      <x:c r="C14" s="41" t="str">
        <x:v>Value</x:v>
      </x:c>
      <x:c r="D14" s="41" t="str">
        <x:v>Unit</x:v>
      </x:c>
      <x:c r="E14" s="41" t="str">
        <x:v>Use</x:v>
      </x:c>
    </x:row>
    <x:row r="15" ht="32" customHeight="1">
      <x:c r="A15" s="1"/>
      <x:c r="B15" s="51" t="str">
        <x:v>Mean advance / L</x:v>
      </x:c>
      <x:c r="C15" s="53" t="n">
        <x:f>AVERAGE(C8:C9)/C7</x:f>
        <x:v>4.066666666666666</x:v>
      </x:c>
      <x:c r="D15" s="55" t="str">
        <x:v>L</x:v>
      </x:c>
      <x:c r="E15" s="50" t="str">
        <x:v>Compare to criterion where applicable.</x:v>
      </x:c>
    </x:row>
    <x:row r="16" ht="32" customHeight="1">
      <x:c r="A16" s="1"/>
      <x:c r="B16" s="51" t="str">
        <x:v>Mean tactical diameter / L</x:v>
      </x:c>
      <x:c r="C16" s="53" t="n">
        <x:f>AVERAGE(C10:C11)/C7</x:f>
        <x:v>4.6</x:v>
      </x:c>
      <x:c r="D16" s="55" t="str">
        <x:v>L</x:v>
      </x:c>
      <x:c r="E16" s="50" t="str">
        <x:v>Compare to criterion where applicable.</x:v>
      </x:c>
    </x:row>
    <x:row r="17" ht="32" customHeight="1">
      <x:c r="A17" s="1"/>
      <x:c r="B17" s="51" t="str">
        <x:v>Advance asymmetry</x:v>
      </x:c>
      <x:c r="C17" s="62" t="n">
        <x:f>ABS(C8-C9)/AVERAGE(C8:C9)</x:f>
        <x:v>0.03278688524590164</x:v>
      </x:c>
      <x:c r="D17" s="55" t="str">
        <x:v>fraction</x:v>
      </x:c>
      <x:c r="E17" s="50" t="str">
        <x:v>Investigate environmental/control bias.</x:v>
      </x:c>
    </x:row>
    <x:row r="18" ht="32" customHeight="1">
      <x:c r="A18" s="1"/>
      <x:c r="B18" s="51" t="str">
        <x:v>Diameter asymmetry</x:v>
      </x:c>
      <x:c r="C18" s="62" t="n">
        <x:f>ABS(C10-C11)/AVERAGE(C10:C11)</x:f>
        <x:v>0.028985507246376812</x:v>
      </x:c>
      <x:c r="D18" s="55" t="str">
        <x:v>fraction</x:v>
      </x:c>
      <x:c r="E18" s="50" t="str">
        <x:v>Investigate environmental/control bias.</x:v>
      </x:c>
    </x:row>
    <x:row r="19">
      <x:c r="A19" s="1"/>
      <x:c r="B19" s="1"/>
      <x:c r="C19" s="1"/>
      <x:c r="D19" s="1"/>
      <x:c r="E19" s="1"/>
    </x:row>
    <x:row r="20" ht="42" customHeight="1">
      <x:c r="A20" s="1"/>
      <x:c r="B20" s="57" t="str">
        <x:v>Sources and limits: IMO MSC.137(76) and ITTC 7.5-04-02-01.</x:v>
      </x:c>
      <x:c r="C20" s="57"/>
      <x:c r="D20" s="57"/>
      <x:c r="E20" s="57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3:E13"/>
    <x:mergeCell ref="B20:E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STOPPING ANALYSIS -- TRACK REACH AND TIME</x:v>
      </x:c>
      <x:c r="C2" s="35"/>
      <x:c r="D2" s="35"/>
      <x:c r="E2" s="35"/>
    </x:row>
    <x:row r="3" ht="52" customHeight="1">
      <x:c r="A3" s="1"/>
      <x:c r="B3" s="39" t="str">
        <x:v>Stopping performance depends on initial speed, propulsion response, loading and environment.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1" t="str">
        <x:v>Parameter</x:v>
      </x:c>
      <x:c r="C6" s="41" t="str">
        <x:v>Value</x:v>
      </x:c>
      <x:c r="D6" s="41" t="str">
        <x:v>Unit</x:v>
      </x:c>
      <x:c r="E6" s="41" t="str">
        <x:v>Explanation / source</x:v>
      </x:c>
    </x:row>
    <x:row r="7" ht="34" customHeight="1">
      <x:c r="A7" s="1"/>
      <x:c r="B7" s="42" t="str">
        <x:v>Length L</x:v>
      </x:c>
      <x:c r="C7" s="46" t="n">
        <x:v>150</x:v>
      </x:c>
      <x:c r="D7" s="48" t="str">
        <x:v>m</x:v>
      </x:c>
      <x:c r="E7" s="38" t="str">
        <x:v>Applicable length basis.</x:v>
      </x:c>
    </x:row>
    <x:row r="8" ht="34" customHeight="1">
      <x:c r="A8" s="1"/>
      <x:c r="B8" s="42" t="str">
        <x:v>Initial speed</x:v>
      </x:c>
      <x:c r="C8" s="46" t="n">
        <x:v>7.5</x:v>
      </x:c>
      <x:c r="D8" s="48" t="str">
        <x:v>m/s</x:v>
      </x:c>
      <x:c r="E8" s="38" t="str">
        <x:v>At full astern order.</x:v>
      </x:c>
    </x:row>
    <x:row r="9" ht="34" customHeight="1">
      <x:c r="A9" s="1"/>
      <x:c r="B9" s="42" t="str">
        <x:v>Track reach</x:v>
      </x:c>
      <x:c r="C9" s="46" t="n">
        <x:v>1800</x:v>
      </x:c>
      <x:c r="D9" s="48" t="str">
        <x:v>m</x:v>
      </x:c>
      <x:c r="E9" s="38" t="str">
        <x:v>Distance along initial course direction.</x:v>
      </x:c>
    </x:row>
    <x:row r="10" ht="34" customHeight="1">
      <x:c r="A10" s="1"/>
      <x:c r="B10" s="42" t="str">
        <x:v>Head reach</x:v>
      </x:c>
      <x:c r="C10" s="46" t="n">
        <x:v>1700</x:v>
      </x:c>
      <x:c r="D10" s="48" t="str">
        <x:v>m</x:v>
      </x:c>
      <x:c r="E10" s="38" t="str">
        <x:v>Project-defined geometric result.</x:v>
      </x:c>
    </x:row>
    <x:row r="11" ht="34" customHeight="1">
      <x:c r="A11" s="1"/>
      <x:c r="B11" s="42" t="str">
        <x:v>Stopping time</x:v>
      </x:c>
      <x:c r="C11" s="46" t="n">
        <x:v>240</x:v>
      </x:c>
      <x:c r="D11" s="48" t="str">
        <x:v>s</x:v>
      </x:c>
      <x:c r="E11" s="38" t="str">
        <x:v>Until vessel stopped by defined criterion.</x:v>
      </x:c>
    </x:row>
    <x:row r="12">
      <x:c r="A12" s="1"/>
      <x:c r="B12" s="1"/>
      <x:c r="C12" s="1"/>
      <x:c r="D12" s="1"/>
      <x:c r="E12" s="1"/>
    </x:row>
    <x:row r="13">
      <x:c r="A13" s="1"/>
      <x:c r="B13" s="13" t="str">
        <x:v>RESULTS</x:v>
      </x:c>
      <x:c r="C13" s="13"/>
      <x:c r="D13" s="13"/>
      <x:c r="E13" s="13"/>
    </x:row>
    <x:row r="14">
      <x:c r="A14" s="1"/>
      <x:c r="B14" s="41" t="str">
        <x:v>Result</x:v>
      </x:c>
      <x:c r="C14" s="41" t="str">
        <x:v>Value</x:v>
      </x:c>
      <x:c r="D14" s="41" t="str">
        <x:v>Unit</x:v>
      </x:c>
      <x:c r="E14" s="41" t="str">
        <x:v>Use</x:v>
      </x:c>
    </x:row>
    <x:row r="15" ht="32" customHeight="1">
      <x:c r="A15" s="1"/>
      <x:c r="B15" s="51" t="str">
        <x:v>Track reach / L</x:v>
      </x:c>
      <x:c r="C15" s="53" t="n">
        <x:f>C9/C7</x:f>
        <x:v>12</x:v>
      </x:c>
      <x:c r="D15" s="55" t="str">
        <x:v>L</x:v>
      </x:c>
      <x:c r="E15" s="50" t="str">
        <x:v>MSC.137(76): ≤15 L, subject to stated provision.</x:v>
      </x:c>
    </x:row>
    <x:row r="16" ht="32" customHeight="1">
      <x:c r="A16" s="1"/>
      <x:c r="B16" s="51" t="str">
        <x:v>Mean deceleration</x:v>
      </x:c>
      <x:c r="C16" s="53" t="n">
        <x:f>C8/C11</x:f>
        <x:v>0.03125</x:v>
      </x:c>
      <x:c r="D16" s="55" t="str">
        <x:v>m/s²</x:v>
      </x:c>
      <x:c r="E16" s="50" t="str">
        <x:v>Simple average, not peak load.</x:v>
      </x:c>
    </x:row>
    <x:row r="17" ht="32" customHeight="1">
      <x:c r="A17" s="1"/>
      <x:c r="B17" s="51" t="str">
        <x:v>Equivalent constant-decel distance</x:v>
      </x:c>
      <x:c r="C17" s="53" t="n">
        <x:f>C8*C11/2</x:f>
        <x:v>900</x:v>
      </x:c>
      <x:c r="D17" s="55" t="str">
        <x:v>m</x:v>
      </x:c>
      <x:c r="E17" s="50" t="str">
        <x:v>Diagnostic comparison only.</x:v>
      </x:c>
    </x:row>
    <x:row r="18" ht="32" customHeight="1">
      <x:c r="A18" s="1"/>
      <x:c r="B18" s="51" t="str">
        <x:v>Track criterion</x:v>
      </x:c>
      <x:c r="C18" s="53" t="str">
        <x:f>IF(C15&lt;=15,"PASS","REVIEW / FAIL")</x:f>
        <x:v>PASS</x:v>
      </x:c>
      <x:c r="D18" s="55" t="str"/>
      <x:c r="E18" s="50" t="str">
        <x:v>Confirm applicability and Administration provision.</x:v>
      </x:c>
    </x:row>
    <x:row r="19">
      <x:c r="A19" s="1"/>
      <x:c r="B19" s="1"/>
      <x:c r="C19" s="1"/>
      <x:c r="D19" s="1"/>
      <x:c r="E19" s="1"/>
    </x:row>
    <x:row r="20" ht="42" customHeight="1">
      <x:c r="A20" s="1"/>
      <x:c r="B20" s="57" t="str">
        <x:v>Sources and limits: IMO MSC.137(76); ITTC trial procedure.</x:v>
      </x:c>
      <x:c r="C20" s="57"/>
      <x:c r="D20" s="57"/>
      <x:c r="E20" s="57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3:E13"/>
    <x:mergeCell ref="B20:E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SHALLOW WATER -- EFFECT REGISTER</x:v>
      </x:c>
      <x:c r="C2" s="35"/>
      <x:c r="D2" s="35"/>
      <x:c r="E2" s="35"/>
    </x:row>
    <x:row r="3" ht="52" customHeight="1">
      <x:c r="A3" s="1"/>
      <x:c r="B3" s="39" t="str">
        <x:v>Restricted water can materially change resistance, sinkage, trim, turning and stopping; this sheet flags analysis needs.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Indicator</x:v>
      </x:c>
      <x:c r="C6" s="41" t="str">
        <x:v>Calculation / observation</x:v>
      </x:c>
      <x:c r="D6" s="41" t="str">
        <x:v>Hydrodynamic implication</x:v>
      </x:c>
      <x:c r="E6" s="41" t="str">
        <x:v>Action</x:v>
      </x:c>
    </x:row>
    <x:row r="7">
      <x:c r="A7" s="1"/>
      <x:c r="B7" s="60" t="str">
        <x:v>Depth-to-draft h/T</x:v>
      </x:c>
      <x:c r="C7" s="59" t="str">
        <x:v>Primary screening ratio</x:v>
      </x:c>
      <x:c r="D7" s="59" t="str">
        <x:v>Smaller ratio increases bottom interaction</x:v>
      </x:c>
      <x:c r="E7" s="59" t="str">
        <x:v>Run restricted-water model/trials</x:v>
      </x:c>
    </x:row>
    <x:row r="8">
      <x:c r="A8" s="1"/>
      <x:c r="B8" s="61" t="str">
        <x:v>Under-keel clearance</x:v>
      </x:c>
      <x:c r="C8" s="22" t="str">
        <x:v>Depth minus dynamic draft</x:v>
      </x:c>
      <x:c r="D8" s="22" t="str">
        <x:v>Squat may consume margin</x:v>
      </x:c>
      <x:c r="E8" s="22" t="str">
        <x:v>Include speed-dependent squat</x:v>
      </x:c>
    </x:row>
    <x:row r="9">
      <x:c r="A9" s="1"/>
      <x:c r="B9" s="60" t="str">
        <x:v>Blockage</x:v>
      </x:c>
      <x:c r="C9" s="59" t="str">
        <x:v>Ship section / channel section</x:v>
      </x:c>
      <x:c r="D9" s="59" t="str">
        <x:v>Bank/channel effects increase with blockage</x:v>
      </x:c>
      <x:c r="E9" s="59" t="str">
        <x:v>Use channel-specific analysis</x:v>
      </x:c>
    </x:row>
    <x:row r="10">
      <x:c r="A10" s="1"/>
      <x:c r="B10" s="61" t="str">
        <x:v>Bank proximity</x:v>
      </x:c>
      <x:c r="C10" s="22" t="str">
        <x:v>Lateral clearance and geometry</x:v>
      </x:c>
      <x:c r="D10" s="22" t="str">
        <x:v>Suction and bow cushion create yaw</x:v>
      </x:c>
      <x:c r="E10" s="22" t="str">
        <x:v>Plan speed and tug support</x:v>
      </x:c>
    </x:row>
    <x:row r="11">
      <x:c r="A11" s="1"/>
      <x:c r="B11" s="60" t="str">
        <x:v>Passing vessel</x:v>
      </x:c>
      <x:c r="C11" s="59" t="str">
        <x:v>Relative speed and separation</x:v>
      </x:c>
      <x:c r="D11" s="59" t="str">
        <x:v>Transient sway/yaw forces</x:v>
      </x:c>
      <x:c r="E11" s="59" t="str">
        <x:v>Traffic controls</x:v>
      </x:c>
    </x:row>
    <x:row r="12">
      <x:c r="A12" s="1"/>
      <x:c r="B12" s="61" t="str">
        <x:v>Wind/current</x:v>
      </x:c>
      <x:c r="C12" s="22" t="str">
        <x:v>Measured vectors</x:v>
      </x:c>
      <x:c r="D12" s="22" t="str">
        <x:v>Biases track and apparent response</x:v>
      </x:c>
      <x:c r="E12" s="22" t="str">
        <x:v>Apply ITTC trial controls/corrections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57" t="str">
        <x:v>Sources and limits: ITTC 7.5-04-02-01 Rev.04; project port/channel studies.</x:v>
      </x:c>
      <x:c r="C14" s="57"/>
      <x:c r="D14" s="57"/>
      <x:c r="E14" s="5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TRIAL QA -- FULL-SCALE MANOEUVRING</x:v>
      </x:c>
      <x:c r="C2" s="35"/>
      <x:c r="D2" s="35"/>
      <x:c r="E2" s="35"/>
    </x:row>
    <x:row r="3" ht="52" customHeight="1">
      <x:c r="A3" s="1"/>
      <x:c r="B3" s="39" t="str">
        <x:v>Document conditions so results are repeatable and interpretable.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Item</x:v>
      </x:c>
      <x:c r="C6" s="41" t="str">
        <x:v>Record</x:v>
      </x:c>
      <x:c r="D6" s="41" t="str">
        <x:v>Why it matters</x:v>
      </x:c>
      <x:c r="E6" s="41" t="str">
        <x:v>Status</x:v>
      </x:c>
    </x:row>
    <x:row r="7">
      <x:c r="A7" s="1"/>
      <x:c r="B7" s="60" t="str">
        <x:v>Loading condition</x:v>
      </x:c>
      <x:c r="C7" s="59" t="str">
        <x:v>Drafts, trim, displacement, GM</x:v>
      </x:c>
      <x:c r="D7" s="59" t="str">
        <x:v>Defines hydrodynamic state</x:v>
      </x:c>
      <x:c r="E7" s="59" t="str">
        <x:v>Open</x:v>
      </x:c>
    </x:row>
    <x:row r="8">
      <x:c r="A8" s="1"/>
      <x:c r="B8" s="61" t="str">
        <x:v>Water depth / bathymetry</x:v>
      </x:c>
      <x:c r="C8" s="22" t="str">
        <x:v>Depth along track</x:v>
      </x:c>
      <x:c r="D8" s="22" t="str">
        <x:v>Bottom interaction</x:v>
      </x:c>
      <x:c r="E8" s="22" t="str">
        <x:v>Open</x:v>
      </x:c>
    </x:row>
    <x:row r="9">
      <x:c r="A9" s="1"/>
      <x:c r="B9" s="60" t="str">
        <x:v>Wind / waves / current</x:v>
      </x:c>
      <x:c r="C9" s="59" t="str">
        <x:v>Time-synchronized measurements</x:v>
      </x:c>
      <x:c r="D9" s="59" t="str">
        <x:v>Track and force bias</x:v>
      </x:c>
      <x:c r="E9" s="59" t="str">
        <x:v>Open</x:v>
      </x:c>
    </x:row>
    <x:row r="10">
      <x:c r="A10" s="1"/>
      <x:c r="B10" s="61" t="str">
        <x:v>Propulsion state</x:v>
      </x:c>
      <x:c r="C10" s="22" t="str">
        <x:v>RPM/power/pitch and engine orders</x:v>
      </x:c>
      <x:c r="D10" s="22" t="str">
        <x:v>Response and repeatability</x:v>
      </x:c>
      <x:c r="E10" s="22" t="str">
        <x:v>Open</x:v>
      </x:c>
    </x:row>
    <x:row r="11">
      <x:c r="A11" s="1"/>
      <x:c r="B11" s="60" t="str">
        <x:v>Rudder / azimuth</x:v>
      </x:c>
      <x:c r="C11" s="59" t="str">
        <x:v>Command and feedback histories</x:v>
      </x:c>
      <x:c r="D11" s="59" t="str">
        <x:v>Control input fidelity</x:v>
      </x:c>
      <x:c r="E11" s="59" t="str">
        <x:v>Open</x:v>
      </x:c>
    </x:row>
    <x:row r="12">
      <x:c r="A12" s="1"/>
      <x:c r="B12" s="61" t="str">
        <x:v>Position and heading</x:v>
      </x:c>
      <x:c r="C12" s="22" t="str">
        <x:v>High-rate GNSS/INS data</x:v>
      </x:c>
      <x:c r="D12" s="22" t="str">
        <x:v>Advance, transfer, rates</x:v>
      </x:c>
      <x:c r="E12" s="22" t="str">
        <x:v>Open</x:v>
      </x:c>
    </x:row>
    <x:row r="13">
      <x:c r="A13" s="1"/>
      <x:c r="B13" s="60" t="str">
        <x:v>Repeat runs</x:v>
      </x:c>
      <x:c r="C13" s="59" t="str">
        <x:v>Port/starboard and repeated cases</x:v>
      </x:c>
      <x:c r="D13" s="59" t="str">
        <x:v>Bias and uncertainty</x:v>
      </x:c>
      <x:c r="E13" s="59" t="str">
        <x:v>Open</x:v>
      </x:c>
    </x:row>
    <x:row r="14">
      <x:c r="A14" s="1"/>
      <x:c r="B14" s="1"/>
      <x:c r="C14" s="1"/>
      <x:c r="D14" s="1"/>
      <x:c r="E14" s="1"/>
    </x:row>
    <x:row r="15" ht="42" customHeight="1">
      <x:c r="A15" s="1"/>
      <x:c r="B15" s="57" t="str">
        <x:v>Sources and limits: ITTC Full Scale Manoeuvring Trials, effective 2024.</x:v>
      </x:c>
      <x:c r="C15" s="57"/>
      <x:c r="D15" s="57"/>
      <x:c r="E15" s="57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5:E1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REFERENCE TABLES -- AUTHORITATIVE SOURCES</x:v>
      </x:c>
      <x:c r="C2" s="35"/>
      <x:c r="D2" s="35"/>
      <x:c r="E2" s="35"/>
    </x:row>
    <x:row r="3" ht="52" customHeight="1">
      <x:c r="A3" s="1"/>
      <x:c r="B3" s="39" t="str">
        <x:v>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SOURCE REGISTER</x:v>
      </x:c>
      <x:c r="C5" s="13"/>
      <x:c r="D5" s="13"/>
      <x:c r="E5" s="13"/>
    </x:row>
    <x:row r="6">
      <x:c r="A6" s="1"/>
      <x:c r="B6" s="41" t="str">
        <x:v>Instrument / source</x:v>
      </x:c>
      <x:c r="C6" s="41" t="str">
        <x:v>Issuer</x:v>
      </x:c>
      <x:c r="D6" s="41" t="str">
        <x:v>Use in this volume</x:v>
      </x:c>
      <x:c r="E6" s="41" t="str">
        <x:v>Official URL</x:v>
      </x:c>
    </x:row>
    <x:row r="7">
      <x:c r="A7" s="1"/>
      <x:c r="B7" s="60" t="str">
        <x:v>Standards for Ship Manoeuvrability, MSC.137(76)</x:v>
      </x:c>
      <x:c r="C7" s="59" t="str">
        <x:v>IMO</x:v>
      </x:c>
      <x:c r="D7" s="59" t="str">
        <x:v>Trial criteria and applicability</x:v>
      </x:c>
      <x:c r="E7" s="63" t="str">
        <x:v>https://wwwcdn.imo.org/localresources/en/KnowledgeCentre/IndexofIMOResolutions/MSCResolutions/MSC.137(76).pdf</x:v>
      </x:c>
    </x:row>
    <x:row r="8">
      <x:c r="A8" s="1"/>
      <x:c r="B8" s="61" t="str">
        <x:v>Full Scale Manoeuvring Trials 7.5-04-02-01 Rev.04</x:v>
      </x:c>
      <x:c r="C8" s="22" t="str">
        <x:v>ITTC</x:v>
      </x:c>
      <x:c r="D8" s="22" t="str">
        <x:v>Trial conduct and environmental controls</x:v>
      </x:c>
      <x:c r="E8" s="63" t="str">
        <x:v>https://www.ittc.info/media/11976/75-04-02-01.pdf</x:v>
      </x:c>
    </x:row>
    <x:row r="9">
      <x:c r="A9" s="1"/>
      <x:c r="B9" s="1"/>
      <x:c r="C9" s="1"/>
      <x:c r="D9" s="1"/>
      <x:c r="E9" s="1"/>
    </x:row>
    <x:row r="10" ht="42" customHeight="1">
      <x:c r="A10" s="1"/>
      <x:c r="B10" s="57" t="str">
        <x:v>Sources and limits: URLs are recorded in plain text for audit. Always confirm amendments, flag circulars and the selected class rules at project start.</x:v>
      </x:c>
      <x:c r="C10" s="57"/>
      <x:c r="D10" s="57"/>
      <x:c r="E10" s="57"/>
    </x:row>
    <x:row r="11">
      <x:c r="A11" s="1"/>
      <x:c r="B11" s="1"/>
      <x:c r="C11" s="1"/>
      <x:c r="D11" s="1"/>
      <x:c r="E11" s="1"/>
    </x:row>
    <x:row r="12">
      <x:c r="A12" s="1"/>
      <x:c r="B12" s="1"/>
      <x:c r="C12" s="1"/>
      <x:c r="D12" s="1"/>
      <x:c r="E12" s="1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0:E10"/>
  </x:mergeCells>
  <x:pageMargins left="0.7" right="0.7" top="0.75" bottom="0.75" header="0.3" footer="0.3"/>
</x:worksheet>
</file>