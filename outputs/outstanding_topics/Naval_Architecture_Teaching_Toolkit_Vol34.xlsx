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6540066dc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12cfffb0cf14f51"/>
    <x:sheet xmlns:r="http://schemas.openxmlformats.org/officeDocument/2006/relationships" name="POLAR PATHWAY" sheetId="2" r:id="R35017638579747f3"/>
    <x:sheet xmlns:r="http://schemas.openxmlformats.org/officeDocument/2006/relationships" name="POLAR CLASS" sheetId="3" r:id="R6146abe54ba14a5c"/>
    <x:sheet xmlns:r="http://schemas.openxmlformats.org/officeDocument/2006/relationships" name="POLARIS RIO" sheetId="4" r:id="R4cb3c9686ce14629"/>
    <x:sheet xmlns:r="http://schemas.openxmlformats.org/officeDocument/2006/relationships" name="WINTERIZATION" sheetId="5" r:id="R54c868f8edee456d"/>
    <x:sheet xmlns:r="http://schemas.openxmlformats.org/officeDocument/2006/relationships" name="VOYAGE PLANNING" sheetId="6" r:id="Rbb0c3e45e8d942eb"/>
    <x:sheet xmlns:r="http://schemas.openxmlformats.org/officeDocument/2006/relationships" name="PWOM CHECK" sheetId="7" r:id="R4d1c79a91a4b45ac"/>
    <x:sheet xmlns:r="http://schemas.openxmlformats.org/officeDocument/2006/relationships" name="REFERENCE TABLES" sheetId="8" r:id="Rf1a437566b2e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b/>
      <x:sz val="11"/>
      <x:color rgb="FF000000"/>
      <x:name val="Carlito"/>
    </x:font>
    <x:font>
      <x:i/>
      <x:sz val="11"/>
      <x:color rgb="FF777777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E3F2FD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bb6a1e6284d34" /><Relationship Type="http://schemas.openxmlformats.org/officeDocument/2006/relationships/theme" Target="/xl/theme/theme1.xml" Id="R2c21eb520cd04565" /><Relationship Type="http://schemas.openxmlformats.org/officeDocument/2006/relationships/sharedStrings" Target="/xl/sharedStrings.xml" Id="R7aab575a54934956" /><Relationship Type="http://schemas.openxmlformats.org/officeDocument/2006/relationships/worksheet" Target="/xl/worksheets/sheet1.xml" Id="Re12cfffb0cf14f51" /><Relationship Type="http://schemas.openxmlformats.org/officeDocument/2006/relationships/worksheet" Target="/xl/worksheets/sheet2.xml" Id="R35017638579747f3" /><Relationship Type="http://schemas.openxmlformats.org/officeDocument/2006/relationships/worksheet" Target="/xl/worksheets/sheet3.xml" Id="R6146abe54ba14a5c" /><Relationship Type="http://schemas.openxmlformats.org/officeDocument/2006/relationships/worksheet" Target="/xl/worksheets/sheet4.xml" Id="R4cb3c9686ce14629" /><Relationship Type="http://schemas.openxmlformats.org/officeDocument/2006/relationships/worksheet" Target="/xl/worksheets/sheet5.xml" Id="R54c868f8edee456d" /><Relationship Type="http://schemas.openxmlformats.org/officeDocument/2006/relationships/worksheet" Target="/xl/worksheets/sheet6.xml" Id="Rbb0c3e45e8d942eb" /><Relationship Type="http://schemas.openxmlformats.org/officeDocument/2006/relationships/worksheet" Target="/xl/worksheets/sheet7.xml" Id="R4d1c79a91a4b45ac" /><Relationship Type="http://schemas.openxmlformats.org/officeDocument/2006/relationships/worksheet" Target="/xl/worksheets/sheet8.xml" Id="Rf1a437566b2e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34 :  Ice Class and Polar Operations</x:v>
      </x:c>
      <x:c r="C5" s="4"/>
      <x:c r="D5" s="4"/>
      <x:c r="E5" s="4"/>
    </x:row>
    <x:row r="6">
      <x:c r="A6" s="1"/>
      <x:c r="B6" s="8" t="str">
        <x:v>Polar Code. Polar Class. POLARIS Inputs. Winterization. PWOM.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Polar operations combine structural ice loads, low-temperature performance, icing, navigation limits, remoteness, environmental protection and crew competence.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Polar category and certificate pathway; Polar Class register; POLARIS RIO arithmetic with user-supplied official RIVs; winterization; voyage planning; PWOM evidence and 2026 amendment awareness.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This workbook does not assign an ice class or operational permission. RIVs and ice concentrations must come from the current official POLARIS material and observed ice regime; class and Administration approval govern.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IMO Polar Code; January 2026 Polar Code supplement; IACS Polar Class Unified Requirements.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POLAR PATHWAY</x:v>
      </x:c>
      <x:c r="D19" s="24" t="str">
        <x:v>Category, certificate and manual path</x:v>
      </x:c>
      <x:c r="E19" s="1"/>
    </x:row>
    <x:row r="20">
      <x:c r="A20" s="1"/>
      <x:c r="B20" s="27" t="str">
        <x:v>3</x:v>
      </x:c>
      <x:c r="C20" s="29" t="str">
        <x:v>POLAR CLASS</x:v>
      </x:c>
      <x:c r="D20" s="22" t="str">
        <x:v>PC1–PC7 capability descriptions</x:v>
      </x:c>
      <x:c r="E20" s="1"/>
    </x:row>
    <x:row r="21">
      <x:c r="A21" s="1"/>
      <x:c r="B21" s="28" t="str">
        <x:v>4</x:v>
      </x:c>
      <x:c r="C21" s="30" t="str">
        <x:v>POLARIS RIO</x:v>
      </x:c>
      <x:c r="D21" s="24" t="str">
        <x:v>User-supplied RIV and ice concentration arithmetic</x:v>
      </x:c>
      <x:c r="E21" s="1"/>
    </x:row>
    <x:row r="22">
      <x:c r="A22" s="1"/>
      <x:c r="B22" s="27" t="str">
        <x:v>5</x:v>
      </x:c>
      <x:c r="C22" s="29" t="str">
        <x:v>WINTERIZATION</x:v>
      </x:c>
      <x:c r="D22" s="22" t="str">
        <x:v>Low-temperature and icing register</x:v>
      </x:c>
      <x:c r="E22" s="1"/>
    </x:row>
    <x:row r="23">
      <x:c r="A23" s="1"/>
      <x:c r="B23" s="28" t="str">
        <x:v>6</x:v>
      </x:c>
      <x:c r="C23" s="30" t="str">
        <x:v>VOYAGE PLANNING</x:v>
      </x:c>
      <x:c r="D23" s="24" t="str">
        <x:v>Polar voyage risk register</x:v>
      </x:c>
      <x:c r="E23" s="1"/>
    </x:row>
    <x:row r="24">
      <x:c r="A24" s="1"/>
      <x:c r="B24" s="27" t="str">
        <x:v>7</x:v>
      </x:c>
      <x:c r="C24" s="29" t="str">
        <x:v>PWOM CHECK</x:v>
      </x:c>
      <x:c r="D24" s="22" t="str">
        <x:v>Operational manual evidence checklist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POLAR PATHWAY -- CERTIFICATION AND LIMITS</x:v>
      </x:c>
      <x:c r="C2" s="35"/>
      <x:c r="D2" s="35"/>
      <x:c r="E2" s="35"/>
    </x:row>
    <x:row r="3" ht="52" customHeight="1">
      <x:c r="A3" s="1"/>
      <x:c r="B3" s="39" t="str">
        <x:v>The Polar Code certificate identifies Category A, B or C and records assessed operational limitations.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Element</x:v>
      </x:c>
      <x:c r="C6" s="41" t="str">
        <x:v>Purpose</x:v>
      </x:c>
      <x:c r="D6" s="41" t="str">
        <x:v>Project evidence</x:v>
      </x:c>
      <x:c r="E6" s="41" t="str">
        <x:v>Authority</x:v>
      </x:c>
    </x:row>
    <x:row r="7">
      <x:c r="A7" s="1"/>
      <x:c r="B7" s="44" t="str">
        <x:v>Operational assessment</x:v>
      </x:c>
      <x:c r="C7" s="43" t="str">
        <x:v>Identify anticipated conditions and hazards</x:v>
      </x:c>
      <x:c r="D7" s="43" t="str">
        <x:v>Hazard assessment and design basis</x:v>
      </x:c>
      <x:c r="E7" s="43" t="str">
        <x:v>Administration / recognized organization</x:v>
      </x:c>
    </x:row>
    <x:row r="8">
      <x:c r="A8" s="1"/>
      <x:c r="B8" s="45" t="str">
        <x:v>Polar Ship Certificate</x:v>
      </x:c>
      <x:c r="C8" s="22" t="str">
        <x:v>Record category and limitations</x:v>
      </x:c>
      <x:c r="D8" s="22" t="str">
        <x:v>Valid certificate</x:v>
      </x:c>
      <x:c r="E8" s="22" t="str">
        <x:v>SOLAS / Polar Code</x:v>
      </x:c>
    </x:row>
    <x:row r="9">
      <x:c r="A9" s="1"/>
      <x:c r="B9" s="44" t="str">
        <x:v>PWOM</x:v>
      </x:c>
      <x:c r="C9" s="43" t="str">
        <x:v>Support master decisions within capabilities</x:v>
      </x:c>
      <x:c r="D9" s="43" t="str">
        <x:v>Approved/accepted manual</x:v>
      </x:c>
      <x:c r="E9" s="43" t="str">
        <x:v>Polar Code</x:v>
      </x:c>
    </x:row>
    <x:row r="10">
      <x:c r="A10" s="1"/>
      <x:c r="B10" s="45" t="str">
        <x:v>Structure</x:v>
      </x:c>
      <x:c r="C10" s="22" t="str">
        <x:v>Withstand applicable global/local ice loads</x:v>
      </x:c>
      <x:c r="D10" s="22" t="str">
        <x:v>Assigned class notation and approved drawings</x:v>
      </x:c>
      <x:c r="E10" s="22" t="str">
        <x:v>Class / Administration</x:v>
      </x:c>
    </x:row>
    <x:row r="11">
      <x:c r="A11" s="1"/>
      <x:c r="B11" s="44" t="str">
        <x:v>Machinery</x:v>
      </x:c>
      <x:c r="C11" s="43" t="str">
        <x:v>Function under ice and low temperature</x:v>
      </x:c>
      <x:c r="D11" s="43" t="str">
        <x:v>Design and test evidence</x:v>
      </x:c>
      <x:c r="E11" s="43" t="str">
        <x:v>Class / Administration</x:v>
      </x:c>
    </x:row>
    <x:row r="12">
      <x:c r="A12" s="1"/>
      <x:c r="B12" s="45" t="str">
        <x:v>Operations</x:v>
      </x:c>
      <x:c r="C12" s="22" t="str">
        <x:v>Navigation, communications, survival, training</x:v>
      </x:c>
      <x:c r="D12" s="22" t="str">
        <x:v>Procedures, equipment and competent crew</x:v>
      </x:c>
      <x:c r="E12" s="22" t="str">
        <x:v>Company / Administration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IMO Polar Code official overview.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POLAR CLASS -- IACS DESIGNATIONS</x:v>
      </x:c>
      <x:c r="C2" s="35"/>
      <x:c r="D2" s="35"/>
      <x:c r="E2" s="35"/>
    </x:row>
    <x:row r="3" ht="52" customHeight="1">
      <x:c r="A3" s="1"/>
      <x:c r="B3" s="39" t="str">
        <x:v>A Polar Class notation is assigned by class after rule compliance; these descriptions do not assign class.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Class</x:v>
      </x:c>
      <x:c r="C6" s="41" t="str">
        <x:v>General IACS description</x:v>
      </x:c>
      <x:c r="D6" s="41" t="str">
        <x:v>Use in project</x:v>
      </x:c>
      <x:c r="E6" s="41" t="str">
        <x:v>Status</x:v>
      </x:c>
    </x:row>
    <x:row r="7">
      <x:c r="A7" s="1"/>
      <x:c r="B7" s="44" t="str">
        <x:v>PC 1</x:v>
      </x:c>
      <x:c r="C7" s="43" t="str">
        <x:v>Year-round operation in all polar waters</x:v>
      </x:c>
      <x:c r="D7" s="43" t="str">
        <x:v>Confirm current IACS/class wording and notation</x:v>
      </x:c>
      <x:c r="E7" s="43" t="str">
        <x:v>Not assigned</x:v>
      </x:c>
    </x:row>
    <x:row r="8">
      <x:c r="A8" s="1"/>
      <x:c r="B8" s="45" t="str">
        <x:v>PC 2</x:v>
      </x:c>
      <x:c r="C8" s="22" t="str">
        <x:v>Year-round operation in moderate multi-year ice conditions</x:v>
      </x:c>
      <x:c r="D8" s="22" t="str">
        <x:v>Confirm current IACS/class wording and notation</x:v>
      </x:c>
      <x:c r="E8" s="22" t="str">
        <x:v>Not assigned</x:v>
      </x:c>
    </x:row>
    <x:row r="9">
      <x:c r="A9" s="1"/>
      <x:c r="B9" s="44" t="str">
        <x:v>PC 3</x:v>
      </x:c>
      <x:c r="C9" s="43" t="str">
        <x:v>Year-round operation in second-year ice, may include multi-year inclusions</x:v>
      </x:c>
      <x:c r="D9" s="43" t="str">
        <x:v>Confirm current IACS/class wording and notation</x:v>
      </x:c>
      <x:c r="E9" s="43" t="str">
        <x:v>Not assigned</x:v>
      </x:c>
    </x:row>
    <x:row r="10">
      <x:c r="A10" s="1"/>
      <x:c r="B10" s="45" t="str">
        <x:v>PC 4</x:v>
      </x:c>
      <x:c r="C10" s="22" t="str">
        <x:v>Year-round operation in thick first-year ice, may include old ice inclusions</x:v>
      </x:c>
      <x:c r="D10" s="22" t="str">
        <x:v>Confirm current IACS/class wording and notation</x:v>
      </x:c>
      <x:c r="E10" s="22" t="str">
        <x:v>Not assigned</x:v>
      </x:c>
    </x:row>
    <x:row r="11">
      <x:c r="A11" s="1"/>
      <x:c r="B11" s="44" t="str">
        <x:v>PC 5</x:v>
      </x:c>
      <x:c r="C11" s="43" t="str">
        <x:v>Year-round operation in medium first-year ice, may include old ice inclusions</x:v>
      </x:c>
      <x:c r="D11" s="43" t="str">
        <x:v>Confirm current IACS/class wording and notation</x:v>
      </x:c>
      <x:c r="E11" s="43" t="str">
        <x:v>Not assigned</x:v>
      </x:c>
    </x:row>
    <x:row r="12">
      <x:c r="A12" s="1"/>
      <x:c r="B12" s="45" t="str">
        <x:v>PC 6</x:v>
      </x:c>
      <x:c r="C12" s="22" t="str">
        <x:v>Summer/autumn operation in medium first-year ice, may include old ice inclusions</x:v>
      </x:c>
      <x:c r="D12" s="22" t="str">
        <x:v>Confirm current IACS/class wording and notation</x:v>
      </x:c>
      <x:c r="E12" s="22" t="str">
        <x:v>Not assigned</x:v>
      </x:c>
    </x:row>
    <x:row r="13">
      <x:c r="A13" s="1"/>
      <x:c r="B13" s="44" t="str">
        <x:v>PC 7</x:v>
      </x:c>
      <x:c r="C13" s="43" t="str">
        <x:v>Summer/autumn operation in thin first-year ice, may include old ice inclusions</x:v>
      </x:c>
      <x:c r="D13" s="43" t="str">
        <x:v>Confirm current IACS/class wording and notation</x:v>
      </x:c>
      <x:c r="E13" s="43" t="str">
        <x:v>Not assigned</x:v>
      </x:c>
    </x:row>
    <x:row r="14">
      <x:c r="A14" s="1"/>
      <x:c r="B14" s="1"/>
      <x:c r="C14" s="1"/>
      <x:c r="D14" s="1"/>
      <x:c r="E14" s="1"/>
    </x:row>
    <x:row r="15" ht="42" customHeight="1">
      <x:c r="A15" s="1"/>
      <x:c r="B15" s="47" t="str">
        <x:v>Sources and limits: IACS Polar Class Unified Requirements; verify the current revision and selected member society rules.</x:v>
      </x:c>
      <x:c r="C15" s="47"/>
      <x:c r="D15" s="47"/>
      <x:c r="E15" s="47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POLARIS RIO -- ARITHMETIC WITH OFFICIAL INPUTS</x:v>
      </x:c>
      <x:c r="C2" s="35"/>
      <x:c r="D2" s="35"/>
      <x:c r="E2" s="35"/>
    </x:row>
    <x:row r="3" ht="52" customHeight="1">
      <x:c r="A3" s="1"/>
      <x:c r="B3" s="39" t="str">
        <x:v>RIO = sum(C_i × RIV_i). Enter ice concentrations in tenths and RIVs from the current official POLARIS table for the ship’s assigned ice class.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ICE REGIME</x:v>
      </x:c>
      <x:c r="C5" s="13"/>
      <x:c r="D5" s="13"/>
      <x:c r="E5" s="13"/>
    </x:row>
    <x:row r="6">
      <x:c r="A6" s="1"/>
      <x:c r="B6" s="41" t="str">
        <x:v>Ice type / stage</x:v>
      </x:c>
      <x:c r="C6" s="41" t="str">
        <x:v>Concentration (tenths)</x:v>
      </x:c>
      <x:c r="D6" s="41" t="str">
        <x:v>RIV (official input)</x:v>
      </x:c>
      <x:c r="E6" s="41" t="str">
        <x:v>Contribution C×RIV</x:v>
      </x:c>
    </x:row>
    <x:row r="7">
      <x:c r="A7" s="1"/>
      <x:c r="B7" s="1" t="str">
        <x:v>Open water / ice free</x:v>
      </x:c>
      <x:c r="C7" s="50" t="n">
        <x:v>2</x:v>
      </x:c>
      <x:c r="D7" s="50"/>
      <x:c r="E7" s="51" t="n">
        <x:f>C7*D7</x:f>
        <x:v>0</x:v>
      </x:c>
    </x:row>
    <x:row r="8">
      <x:c r="A8" s="1"/>
      <x:c r="B8" s="1" t="str">
        <x:v>New ice</x:v>
      </x:c>
      <x:c r="C8" s="50" t="n">
        <x:v>2</x:v>
      </x:c>
      <x:c r="D8" s="50"/>
      <x:c r="E8" s="51" t="n">
        <x:f>C8*D8</x:f>
        <x:v>0</x:v>
      </x:c>
    </x:row>
    <x:row r="9">
      <x:c r="A9" s="1"/>
      <x:c r="B9" s="1" t="str">
        <x:v>Thin first-year ice</x:v>
      </x:c>
      <x:c r="C9" s="50" t="n">
        <x:v>3</x:v>
      </x:c>
      <x:c r="D9" s="50"/>
      <x:c r="E9" s="51" t="n">
        <x:f>C9*D9</x:f>
        <x:v>0</x:v>
      </x:c>
    </x:row>
    <x:row r="10">
      <x:c r="A10" s="1"/>
      <x:c r="B10" s="1" t="str">
        <x:v>Medium first-year ice</x:v>
      </x:c>
      <x:c r="C10" s="50" t="n">
        <x:v>2</x:v>
      </x:c>
      <x:c r="D10" s="50"/>
      <x:c r="E10" s="51" t="n">
        <x:f>C10*D10</x:f>
        <x:v>0</x:v>
      </x:c>
    </x:row>
    <x:row r="11">
      <x:c r="A11" s="1"/>
      <x:c r="B11" s="1" t="str">
        <x:v>Thick first-year ice</x:v>
      </x:c>
      <x:c r="C11" s="50" t="n">
        <x:v>1</x:v>
      </x:c>
      <x:c r="D11" s="50"/>
      <x:c r="E11" s="51" t="n">
        <x:f>C11*D11</x:f>
        <x:v>0</x:v>
      </x:c>
    </x:row>
    <x:row r="12">
      <x:c r="A12" s="1"/>
      <x:c r="B12" s="1" t="str">
        <x:v>Old ice</x:v>
      </x:c>
      <x:c r="C12" s="50" t="n">
        <x:v>0</x:v>
      </x:c>
      <x:c r="D12" s="50"/>
      <x:c r="E12" s="51" t="n">
        <x:f>C12*D12</x:f>
        <x:v>0</x:v>
      </x:c>
    </x:row>
    <x:row r="13">
      <x:c r="A13" s="1"/>
      <x:c r="B13" s="1"/>
      <x:c r="C13" s="1"/>
      <x:c r="D13" s="1"/>
      <x:c r="E13" s="1"/>
    </x:row>
    <x:row r="14">
      <x:c r="A14" s="1"/>
      <x:c r="B14" s="52" t="str">
        <x:v>Concentration sum</x:v>
      </x:c>
      <x:c r="C14" s="52" t="n">
        <x:f>SUM(C7:C12)</x:f>
        <x:v>10</x:v>
      </x:c>
      <x:c r="D14" s="52" t="str">
        <x:v>tenths</x:v>
      </x:c>
      <x:c r="E14" s="52" t="str">
        <x:v>Must equal 10 for a complete regime.</x:v>
      </x:c>
    </x:row>
    <x:row r="15">
      <x:c r="A15" s="1"/>
      <x:c r="B15" s="52" t="str">
        <x:v>RIO</x:v>
      </x:c>
      <x:c r="C15" s="52" t="n">
        <x:f>SUM(E7:E12)</x:f>
        <x:v>0</x:v>
      </x:c>
      <x:c r="D15" s="52" t="str"/>
      <x:c r="E15" s="52" t="str">
        <x:v>Sum of contributions.</x:v>
      </x:c>
    </x:row>
    <x:row r="16">
      <x:c r="A16" s="1"/>
      <x:c r="B16" s="52" t="str">
        <x:v>Input completeness</x:v>
      </x:c>
      <x:c r="C16" s="52" t="str">
        <x:f>IF(AND(C14=10,COUNT(D7:D12)=6),"INPUTS COMPLETE","ENTER / CHECK INPUTS")</x:f>
        <x:v>ENTER / CHECK INPUTS</x:v>
      </x:c>
      <x:c r="D16" s="52" t="str"/>
      <x:c r="E16" s="52" t="str">
        <x:v>Concentrations and RIVs must be verified.</x:v>
      </x:c>
    </x:row>
    <x:row r="17">
      <x:c r="A17" s="1"/>
      <x:c r="B17" s="52" t="str">
        <x:v>Operational decision</x:v>
      </x:c>
      <x:c r="C17" s="52" t="str">
        <x:v>REFER TO CURRENT POLARIS + PWOM</x:v>
      </x:c>
      <x:c r="D17" s="52" t="str"/>
      <x:c r="E17" s="52" t="str">
        <x:v>Use current POLARIS decision criteria and PWOM.</x:v>
      </x:c>
    </x:row>
    <x:row r="18">
      <x:c r="A18" s="1"/>
      <x:c r="B18" s="1"/>
      <x:c r="C18" s="1"/>
      <x:c r="D18" s="1"/>
      <x:c r="E18" s="1"/>
    </x:row>
    <x:row r="19" ht="42" customHeight="1">
      <x:c r="A19" s="1"/>
      <x:c r="B19" s="47" t="str">
        <x:v>Sources and limits: POLARIS arithmetic only. No RIV table or go/no-go threshold is invented; use the current official guidance for assigned ice class.</x:v>
      </x:c>
      <x:c r="C19" s="47"/>
      <x:c r="D19" s="47"/>
      <x:c r="E19" s="47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9:E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WINTERIZATION -- SYSTEM FUNCTION</x:v>
      </x:c>
      <x:c r="C2" s="35"/>
      <x:c r="D2" s="35"/>
      <x:c r="E2" s="35"/>
    </x:row>
    <x:row r="3" ht="52" customHeight="1">
      <x:c r="A3" s="1"/>
      <x:c r="B3" s="39" t="str">
        <x:v>Design environmental conditions and polar service temperature must be project-defined and evidenced.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System / hazard</x:v>
      </x:c>
      <x:c r="C6" s="41" t="str">
        <x:v>Failure mode</x:v>
      </x:c>
      <x:c r="D6" s="41" t="str">
        <x:v>Design evidence</x:v>
      </x:c>
      <x:c r="E6" s="41" t="str">
        <x:v>Operational control</x:v>
      </x:c>
    </x:row>
    <x:row r="7">
      <x:c r="A7" s="1"/>
      <x:c r="B7" s="44" t="str">
        <x:v>Sea water systems</x:v>
      </x:c>
      <x:c r="C7" s="43" t="str">
        <x:v>Ice blockage / freezing</x:v>
      </x:c>
      <x:c r="D7" s="43" t="str">
        <x:v>Sea-inlet and heating analysis</x:v>
      </x:c>
      <x:c r="E7" s="43" t="str">
        <x:v>Monitoring and changeover</x:v>
      </x:c>
    </x:row>
    <x:row r="8">
      <x:c r="A8" s="1"/>
      <x:c r="B8" s="45" t="str">
        <x:v>Deck machinery</x:v>
      </x:c>
      <x:c r="C8" s="22" t="str">
        <x:v>Lubricant, seal and hydraulic degradation</x:v>
      </x:c>
      <x:c r="D8" s="22" t="str">
        <x:v>Low-temperature qualification</x:v>
      </x:c>
      <x:c r="E8" s="22" t="str">
        <x:v>Warm-up and inspection</x:v>
      </x:c>
    </x:row>
    <x:row r="9">
      <x:c r="A9" s="1"/>
      <x:c r="B9" s="44" t="str">
        <x:v>Fire safety</x:v>
      </x:c>
      <x:c r="C9" s="43" t="str">
        <x:v>Frozen lines / inaccessible equipment</x:v>
      </x:c>
      <x:c r="D9" s="43" t="str">
        <x:v>Heating and protection basis</x:v>
      </x:c>
      <x:c r="E9" s="43" t="str">
        <x:v>Readiness checks</x:v>
      </x:c>
    </x:row>
    <x:row r="10">
      <x:c r="A10" s="1"/>
      <x:c r="B10" s="45" t="str">
        <x:v>Life-saving appliances</x:v>
      </x:c>
      <x:c r="C10" s="22" t="str">
        <x:v>Deployment and survival limitations</x:v>
      </x:c>
      <x:c r="D10" s="22" t="str">
        <x:v>Polar equipment / test evidence</x:v>
      </x:c>
      <x:c r="E10" s="22" t="str">
        <x:v>Training and maintenance</x:v>
      </x:c>
    </x:row>
    <x:row r="11">
      <x:c r="A11" s="1"/>
      <x:c r="B11" s="44" t="str">
        <x:v>Navigation sensors</x:v>
      </x:c>
      <x:c r="C11" s="43" t="str">
        <x:v>Icing and low-temperature failure</x:v>
      </x:c>
      <x:c r="D11" s="43" t="str">
        <x:v>Environmental qualification</x:v>
      </x:c>
      <x:c r="E11" s="43" t="str">
        <x:v>De-icing and redundancy</x:v>
      </x:c>
    </x:row>
    <x:row r="12">
      <x:c r="A12" s="1"/>
      <x:c r="B12" s="45" t="str">
        <x:v>Battery/electronics</x:v>
      </x:c>
      <x:c r="C12" s="22" t="str">
        <x:v>Capacity loss / condensation</x:v>
      </x:c>
      <x:c r="D12" s="22" t="str">
        <x:v>Temperature qualification</x:v>
      </x:c>
      <x:c r="E12" s="22" t="str">
        <x:v>Heated storage / charging</x:v>
      </x:c>
    </x:row>
    <x:row r="13">
      <x:c r="A13" s="1"/>
      <x:c r="B13" s="44" t="str">
        <x:v>Topside icing</x:v>
      </x:c>
      <x:c r="C13" s="43" t="str">
        <x:v>Stability and access hazard</x:v>
      </x:c>
      <x:c r="D13" s="43" t="str">
        <x:v>Icing allowance and removal plan</x:v>
      </x:c>
      <x:c r="E13" s="43" t="str">
        <x:v>Weather limits / de-icing</x:v>
      </x:c>
    </x:row>
    <x:row r="14">
      <x:c r="A14" s="1"/>
      <x:c r="B14" s="1"/>
      <x:c r="C14" s="1"/>
      <x:c r="D14" s="1"/>
      <x:c r="E14" s="1"/>
    </x:row>
    <x:row r="15" ht="42" customHeight="1">
      <x:c r="A15" s="1"/>
      <x:c r="B15" s="47" t="str">
        <x:v>Sources and limits: IMO Polar Code chapters on machinery, fire safety, life-saving, navigation and operations.</x:v>
      </x:c>
      <x:c r="C15" s="47"/>
      <x:c r="D15" s="47"/>
      <x:c r="E15" s="47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VOYAGE PLANNING -- CAPABILITY VERSUS CONDITIONS</x:v>
      </x:c>
      <x:c r="C2" s="35"/>
      <x:c r="D2" s="35"/>
      <x:c r="E2" s="35"/>
    </x:row>
    <x:row r="3" ht="52" customHeight="1">
      <x:c r="A3" s="1"/>
      <x:c r="B3" s="39" t="str">
        <x:v>A safe plan stays within the certificate, PWOM and real-time environmental information.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Planning input</x:v>
      </x:c>
      <x:c r="C6" s="41" t="str">
        <x:v>Decision use</x:v>
      </x:c>
      <x:c r="D6" s="41" t="str">
        <x:v>Evidence source</x:v>
      </x:c>
      <x:c r="E6" s="41" t="str">
        <x:v>Status</x:v>
      </x:c>
    </x:row>
    <x:row r="7">
      <x:c r="A7" s="1"/>
      <x:c r="B7" s="44" t="str">
        <x:v>Ice charts and forecasts</x:v>
      </x:c>
      <x:c r="C7" s="43" t="str">
        <x:v>Route and timing</x:v>
      </x:c>
      <x:c r="D7" s="43" t="str">
        <x:v>Recognized ice service</x:v>
      </x:c>
      <x:c r="E7" s="43" t="str">
        <x:v>Open</x:v>
      </x:c>
    </x:row>
    <x:row r="8">
      <x:c r="A8" s="1"/>
      <x:c r="B8" s="45" t="str">
        <x:v>Observed ice regime</x:v>
      </x:c>
      <x:c r="C8" s="22" t="str">
        <x:v>POLARIS / operational decision</x:v>
      </x:c>
      <x:c r="D8" s="22" t="str">
        <x:v>Bridge observations and reports</x:v>
      </x:c>
      <x:c r="E8" s="22" t="str">
        <x:v>Open</x:v>
      </x:c>
    </x:row>
    <x:row r="9">
      <x:c r="A9" s="1"/>
      <x:c r="B9" s="44" t="str">
        <x:v>Ship limitations</x:v>
      </x:c>
      <x:c r="C9" s="43" t="str">
        <x:v>No-go and conditional operations</x:v>
      </x:c>
      <x:c r="D9" s="43" t="str">
        <x:v>Certificate and PWOM</x:v>
      </x:c>
      <x:c r="E9" s="43" t="str">
        <x:v>Open</x:v>
      </x:c>
    </x:row>
    <x:row r="10">
      <x:c r="A10" s="1"/>
      <x:c r="B10" s="45" t="str">
        <x:v>Hydrography</x:v>
      </x:c>
      <x:c r="C10" s="22" t="str">
        <x:v>Safe water and chart confidence</x:v>
      </x:c>
      <x:c r="D10" s="22" t="str">
        <x:v>Official charts/notices</x:v>
      </x:c>
      <x:c r="E10" s="22" t="str">
        <x:v>Open</x:v>
      </x:c>
    </x:row>
    <x:row r="11">
      <x:c r="A11" s="1"/>
      <x:c r="B11" s="44" t="str">
        <x:v>Weather and visibility</x:v>
      </x:c>
      <x:c r="C11" s="43" t="str">
        <x:v>Speed, route, icing and shelter</x:v>
      </x:c>
      <x:c r="D11" s="43" t="str">
        <x:v>Forecast provider</x:v>
      </x:c>
      <x:c r="E11" s="43" t="str">
        <x:v>Open</x:v>
      </x:c>
    </x:row>
    <x:row r="12">
      <x:c r="A12" s="1"/>
      <x:c r="B12" s="45" t="str">
        <x:v>SAR and refuge</x:v>
      </x:c>
      <x:c r="C12" s="22" t="str">
        <x:v>Contingency and survival time</x:v>
      </x:c>
      <x:c r="D12" s="22" t="str">
        <x:v>Regional plans / contacts</x:v>
      </x:c>
      <x:c r="E12" s="22" t="str">
        <x:v>Open</x:v>
      </x:c>
    </x:row>
    <x:row r="13">
      <x:c r="A13" s="1"/>
      <x:c r="B13" s="44" t="str">
        <x:v>Fuel and stores</x:v>
      </x:c>
      <x:c r="C13" s="43" t="str">
        <x:v>Delay and diversion endurance</x:v>
      </x:c>
      <x:c r="D13" s="43" t="str">
        <x:v>Voyage calculation</x:v>
      </x:c>
      <x:c r="E13" s="43" t="str">
        <x:v>Open</x:v>
      </x:c>
    </x:row>
    <x:row r="14">
      <x:c r="A14" s="1"/>
      <x:c r="B14" s="45" t="str">
        <x:v>Environmental restrictions</x:v>
      </x:c>
      <x:c r="C14" s="22" t="str">
        <x:v>Discharge and protected areas</x:v>
      </x:c>
      <x:c r="D14" s="22" t="str">
        <x:v>MARPOL / Polar Code / coastal rules</x:v>
      </x:c>
      <x:c r="E14" s="22" t="str">
        <x:v>Open</x:v>
      </x:c>
    </x:row>
    <x:row r="15">
      <x:c r="A15" s="1"/>
      <x:c r="B15" s="1"/>
      <x:c r="C15" s="1"/>
      <x:c r="D15" s="1"/>
      <x:c r="E15" s="1"/>
    </x:row>
    <x:row r="16" ht="42" customHeight="1">
      <x:c r="A16" s="1"/>
      <x:c r="B16" s="47" t="str">
        <x:v>Sources and limits: IMO Polar Code and official voyage-planning guidance.</x:v>
      </x:c>
      <x:c r="C16" s="47"/>
      <x:c r="D16" s="47"/>
      <x:c r="E16" s="47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6:E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PWOM CHECK -- DECISION SUPPORT</x:v>
      </x:c>
      <x:c r="C2" s="35"/>
      <x:c r="D2" s="35"/>
      <x:c r="E2" s="35"/>
    </x:row>
    <x:row r="3" ht="52" customHeight="1">
      <x:c r="A3" s="1"/>
      <x:c r="B3" s="39" t="str">
        <x:v>The manual must make capabilities and limitations usable by the master and crew.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Content</x:v>
      </x:c>
      <x:c r="C6" s="41" t="str">
        <x:v>Evidence</x:v>
      </x:c>
      <x:c r="D6" s="41" t="str">
        <x:v>Verification question</x:v>
      </x:c>
      <x:c r="E6" s="41" t="str">
        <x:v>Status</x:v>
      </x:c>
    </x:row>
    <x:row r="7">
      <x:c r="A7" s="1"/>
      <x:c r="B7" s="44" t="str">
        <x:v>Ship capabilities</x:v>
      </x:c>
      <x:c r="C7" s="43" t="str">
        <x:v>Ice, temperature and system limits</x:v>
      </x:c>
      <x:c r="D7" s="43" t="str">
        <x:v>Are limits measurable onboard?</x:v>
      </x:c>
      <x:c r="E7" s="43" t="str">
        <x:v>Open</x:v>
      </x:c>
    </x:row>
    <x:row r="8">
      <x:c r="A8" s="1"/>
      <x:c r="B8" s="45" t="str">
        <x:v>Normal operations</x:v>
      </x:c>
      <x:c r="C8" s="22" t="str">
        <x:v>Route, speed and machinery guidance</x:v>
      </x:c>
      <x:c r="D8" s="22" t="str">
        <x:v>Are triggers and actions explicit?</x:v>
      </x:c>
      <x:c r="E8" s="22" t="str">
        <x:v>Open</x:v>
      </x:c>
    </x:row>
    <x:row r="9">
      <x:c r="A9" s="1"/>
      <x:c r="B9" s="44" t="str">
        <x:v>Risk-based procedures</x:v>
      </x:c>
      <x:c r="C9" s="43" t="str">
        <x:v>Ice, icing, low temperature, remoteness</x:v>
      </x:c>
      <x:c r="D9" s="43" t="str">
        <x:v>Do procedures reflect assessment hazards?</x:v>
      </x:c>
      <x:c r="E9" s="43" t="str">
        <x:v>Open</x:v>
      </x:c>
    </x:row>
    <x:row r="10">
      <x:c r="A10" s="1"/>
      <x:c r="B10" s="45" t="str">
        <x:v>Incident response</x:v>
      </x:c>
      <x:c r="C10" s="22" t="str">
        <x:v>Beset, damage, pollution, loss of systems</x:v>
      </x:c>
      <x:c r="D10" s="22" t="str">
        <x:v>Are roles, contacts and resources current?</x:v>
      </x:c>
      <x:c r="E10" s="22" t="str">
        <x:v>Open</x:v>
      </x:c>
    </x:row>
    <x:row r="11">
      <x:c r="A11" s="1"/>
      <x:c r="B11" s="44" t="str">
        <x:v>Coordination</x:v>
      </x:c>
      <x:c r="C11" s="43" t="str">
        <x:v>Icebreaker, convoy, reporting, SAR</x:v>
      </x:c>
      <x:c r="D11" s="43" t="str">
        <x:v>Are communications practical?</x:v>
      </x:c>
      <x:c r="E11" s="43" t="str">
        <x:v>Open</x:v>
      </x:c>
    </x:row>
    <x:row r="12">
      <x:c r="A12" s="1"/>
      <x:c r="B12" s="45" t="str">
        <x:v>Training and drills</x:v>
      </x:c>
      <x:c r="C12" s="22" t="str">
        <x:v>Competence and familiarization</x:v>
      </x:c>
      <x:c r="D12" s="22" t="str">
        <x:v>Are records and scenarios adequate?</x:v>
      </x:c>
      <x:c r="E12" s="22" t="str">
        <x:v>Open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IMO Polar Code requirement for a Polar Water Operational Manual.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41" t="str">
        <x:v>Instrument / source</x:v>
      </x:c>
      <x:c r="C6" s="41" t="str">
        <x:v>Issuer</x:v>
      </x:c>
      <x:c r="D6" s="41" t="str">
        <x:v>Use in this volume</x:v>
      </x:c>
      <x:c r="E6" s="41" t="str">
        <x:v>Official URL</x:v>
      </x:c>
    </x:row>
    <x:row r="7">
      <x:c r="A7" s="1"/>
      <x:c r="B7" s="44" t="str">
        <x:v>International Code for Ships Operating in Polar Waters</x:v>
      </x:c>
      <x:c r="C7" s="43" t="str">
        <x:v>IMO</x:v>
      </x:c>
      <x:c r="D7" s="43" t="str">
        <x:v>Mandatory safety and environmental framework</x:v>
      </x:c>
      <x:c r="E7" s="53" t="str">
        <x:v>https://www.imo.org/en/ourwork/safety/pages/polar-code.aspx</x:v>
      </x:c>
    </x:row>
    <x:row r="8">
      <x:c r="A8" s="1"/>
      <x:c r="B8" s="45" t="str">
        <x:v>Polar Code supplement, January 2026</x:v>
      </x:c>
      <x:c r="C8" s="22" t="str">
        <x:v>IMO</x:v>
      </x:c>
      <x:c r="D8" s="22" t="str">
        <x:v>Amendments entering into force 1 January 2026</x:v>
      </x:c>
      <x:c r="E8" s="53" t="str">
        <x:v>https://wwwcdn.imo.org/localresources/en/publications/Documents/Supplements/English/2Q191E_Supplement_January2026_EBK.pdf</x:v>
      </x:c>
    </x:row>
    <x:row r="9">
      <x:c r="A9" s="1"/>
      <x:c r="B9" s="44" t="str">
        <x:v>Unified Requirements, Polar Class</x:v>
      </x:c>
      <x:c r="C9" s="43" t="str">
        <x:v>IACS</x:v>
      </x:c>
      <x:c r="D9" s="43" t="str">
        <x:v>Polar Class structural machinery requirements register</x:v>
      </x:c>
      <x:c r="E9" s="53" t="str">
        <x:v>https://iacs.org.uk/resolutions/unified-requirements</x:v>
      </x:c>
    </x:row>
    <x:row r="10">
      <x:c r="A10" s="1"/>
      <x:c r="B10" s="1"/>
      <x:c r="C10" s="1"/>
      <x:c r="D10" s="1"/>
      <x:c r="E10" s="1"/>
    </x:row>
    <x:row r="11" ht="42" customHeight="1">
      <x:c r="A11" s="1"/>
      <x:c r="B11" s="47" t="str">
        <x:v>Sources and limits: URLs are recorded in plain text for audit. Always confirm amendments, flag circulars and the selected class rules at project start.</x:v>
      </x:c>
      <x:c r="C11" s="47"/>
      <x:c r="D11" s="47"/>
      <x:c r="E11" s="47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1:E11"/>
  </x:mergeCells>
  <x:pageMargins left="0.7" right="0.7" top="0.75" bottom="0.75" header="0.3" footer="0.3"/>
</x:worksheet>
</file>